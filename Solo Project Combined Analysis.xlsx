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ya Shah\Desktop\Solo Project\"/>
    </mc:Choice>
  </mc:AlternateContent>
  <xr:revisionPtr revIDLastSave="0" documentId="13_ncr:1_{3BF7C272-4203-4819-B4E7-0DC5E154C6F2}" xr6:coauthVersionLast="47" xr6:coauthVersionMax="47" xr10:uidLastSave="{00000000-0000-0000-0000-000000000000}"/>
  <bookViews>
    <workbookView xWindow="-110" yWindow="-110" windowWidth="19420" windowHeight="10300" firstSheet="1" activeTab="5" xr2:uid="{88F33CBB-7234-40F3-8959-90B1C978DCE0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  <sheet name="Combined Analysi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6" l="1"/>
  <c r="D7" i="6"/>
  <c r="C7" i="6"/>
  <c r="B7" i="6"/>
  <c r="F7" i="2"/>
  <c r="F7" i="5"/>
  <c r="F6" i="5"/>
  <c r="F4" i="5"/>
  <c r="F3" i="5"/>
  <c r="F7" i="4"/>
  <c r="F6" i="4"/>
  <c r="F4" i="4"/>
  <c r="F3" i="4"/>
  <c r="F7" i="3"/>
  <c r="F6" i="3"/>
  <c r="F4" i="3"/>
  <c r="F3" i="3"/>
  <c r="F3" i="2"/>
  <c r="F6" i="2"/>
  <c r="F4" i="2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3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3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3" i="2"/>
  <c r="F7" i="1"/>
  <c r="F6" i="1"/>
  <c r="F4" i="1"/>
  <c r="F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3" i="1"/>
</calcChain>
</file>

<file path=xl/sharedStrings.xml><?xml version="1.0" encoding="utf-8"?>
<sst xmlns="http://schemas.openxmlformats.org/spreadsheetml/2006/main" count="46" uniqueCount="10">
  <si>
    <t>trials</t>
  </si>
  <si>
    <t>resp.corr</t>
  </si>
  <si>
    <t>resp.rt</t>
  </si>
  <si>
    <t>Trial Phase</t>
  </si>
  <si>
    <t>Pre Mean RT</t>
  </si>
  <si>
    <t>Post Mean RT</t>
  </si>
  <si>
    <t>Pre Error Rate</t>
  </si>
  <si>
    <t>Post Error Rate</t>
  </si>
  <si>
    <t>Participants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</si>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</sst>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26B1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IN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Pre vs Post  Reaction Times 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Analysis'!$B$1</c:f>
              <c:strCache>
                <c:ptCount val="1"/>
                <c:pt idx="0">
                  <c:v>Pre Mean 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'Combined Analysis'!$B$2:$B$7</c:f>
              <c:numCache>
                <c:formatCode>General</c:formatCode>
                <c:ptCount val="6"/>
                <c:pt idx="0">
                  <c:v>1.7652345199999999</c:v>
                </c:pt>
                <c:pt idx="1">
                  <c:v>1.7648542300000001</c:v>
                </c:pt>
                <c:pt idx="2">
                  <c:v>2.6459407599999998</c:v>
                </c:pt>
                <c:pt idx="3">
                  <c:v>1.7169720100000001</c:v>
                </c:pt>
                <c:pt idx="4">
                  <c:v>1.41695196</c:v>
                </c:pt>
                <c:pt idx="5">
                  <c:v>1.8619906959999999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C-48BF-A50A-2E2150F52FD2}"/>
            </c:ext>
          </c:extLst>
        </c:ser>
        <c:ser>
          <c:idx val="1"/>
          <c:order val="1"/>
          <c:tx>
            <c:strRef>
              <c:f>'Combined Analysis'!$C$1</c:f>
              <c:strCache>
                <c:ptCount val="1"/>
                <c:pt idx="0">
                  <c:v>Post Mean 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'Combined Analysis'!$C$2:$C$7</c:f>
              <c:numCache>
                <c:formatCode>General</c:formatCode>
                <c:ptCount val="6"/>
                <c:pt idx="0">
                  <c:v>1.5751653000000001</c:v>
                </c:pt>
                <c:pt idx="1">
                  <c:v>2.0057480999999999</c:v>
                </c:pt>
                <c:pt idx="2">
                  <c:v>2.8349492000000001</c:v>
                </c:pt>
                <c:pt idx="3">
                  <c:v>1.5010591</c:v>
                </c:pt>
                <c:pt idx="4">
                  <c:v>1.4210058999999999</c:v>
                </c:pt>
                <c:pt idx="5">
                  <c:v>1.86758552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C-48BF-A50A-2E2150F52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767951"/>
        <c:axId val="1964756911"/>
      </c:barChart>
      <c:catAx>
        <c:axId val="1964767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Participants</a:t>
                </a:r>
              </a:p>
            </c:rich>
          </c:tx>
          <c:layout>
            <c:manualLayout>
              <c:xMode val="edge"/>
              <c:yMode val="edge"/>
              <c:x val="0.40210979877515318"/>
              <c:y val="0.7806707494896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56911"/>
        <c:crosses val="autoZero"/>
        <c:auto val="1"/>
        <c:lblAlgn val="ctr"/>
        <c:lblOffset val="100"/>
        <c:noMultiLvlLbl val="0"/>
      </c:catAx>
      <c:valAx>
        <c:axId val="196475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Reaction Time (seconds</a:t>
                </a:r>
                <a:r>
                  <a:rPr lang="en-I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17383457276173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6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Pre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vs Post Error Rate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222915573053368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 Error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D8-4F4A-8239-47A65408EE34}"/>
              </c:ext>
            </c:extLst>
          </c:dPt>
          <c:cat>
            <c:strRef>
              <c:f>'Combined Analysis'!$D$1:$E$1</c:f>
              <c:strCache>
                <c:ptCount val="2"/>
                <c:pt idx="0">
                  <c:v>Pre Error Rate</c:v>
                </c:pt>
                <c:pt idx="1">
                  <c:v>Post Error Rate</c:v>
                </c:pt>
              </c:strCache>
            </c:strRef>
          </c:cat>
          <c:val>
            <c:numRef>
              <c:f>'Combined Analysis'!$D$7:$E$7</c:f>
              <c:numCache>
                <c:formatCode>General</c:formatCode>
                <c:ptCount val="2"/>
                <c:pt idx="0">
                  <c:v>0.787341768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8-4F4A-8239-47A65408E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150639"/>
        <c:axId val="131598463"/>
      </c:barChart>
      <c:catAx>
        <c:axId val="33515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8463"/>
        <c:crosses val="autoZero"/>
        <c:auto val="1"/>
        <c:lblAlgn val="ctr"/>
        <c:lblOffset val="100"/>
        <c:noMultiLvlLbl val="0"/>
      </c:catAx>
      <c:valAx>
        <c:axId val="13159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Error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5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784224</xdr:colOff>
      <xdr:row>8</xdr:row>
      <xdr:rowOff>0</xdr:rowOff>
    </xdr:from>
    <xdr:to>
      <xdr:col>5</xdr:col>
      <xdr:colOff>32151</xdr:colOff>
      <xdr:row>21</xdr:row>
      <xdr:rowOff>80380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E9AB8-E05F-368D-22A1-FFE6BA081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601677</xdr:colOff>
      <xdr:row>8</xdr:row>
      <xdr:rowOff>8039</xdr:rowOff>
    </xdr:from>
    <xdr:to>
      <xdr:col>12</xdr:col>
      <xdr:colOff>249177</xdr:colOff>
      <xdr:row>21</xdr:row>
      <xdr:rowOff>72343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456E7F-F7A8-405E-1234-024C8A4B0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DC49-C801-4924-AE01-05A2952B1C80}">
  <dimension ref="A1:F162"/>
  <sheetViews>
    <sheetView workbookViewId="0">
      <selection activeCell="G3" sqref="G3"/>
    </sheetView>
  </sheetViews>
  <sheetFormatPr defaultRowHeight="14.5" x14ac:dyDescent="0.35"/>
  <cols>
    <col min="4" max="4" width="10.81640625" customWidth="1"/>
    <col min="5" max="5" width="14" customWidth="1"/>
    <col min="6" max="6" width="12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3" spans="1:6" x14ac:dyDescent="0.35">
      <c r="A3">
        <v>17</v>
      </c>
      <c r="B3">
        <v>0</v>
      </c>
      <c r="C3">
        <v>2.5995830000611</v>
      </c>
      <c r="D3" t="str">
        <f>IF(A3&lt;80,"pre","post")</f>
        <v>pre</v>
      </c>
      <c r="E3" t="s">
        <v>4</v>
      </c>
      <c r="F3">
        <f>AVERAGEIF(D:D,"pre",C:C)</f>
        <v>1.7652345265879248</v>
      </c>
    </row>
    <row r="4" spans="1:6" x14ac:dyDescent="0.35">
      <c r="A4">
        <v>21</v>
      </c>
      <c r="B4">
        <v>0</v>
      </c>
      <c r="C4">
        <v>2.4494674999732502</v>
      </c>
      <c r="D4" t="str">
        <f t="shared" ref="D4:D67" si="0">IF(A4&lt;80,"pre","post")</f>
        <v>pre</v>
      </c>
      <c r="E4" t="s">
        <v>5</v>
      </c>
      <c r="F4">
        <f>AVERAGEIF(D:D,"post",C:C)</f>
        <v>1.57516530004795</v>
      </c>
    </row>
    <row r="5" spans="1:6" x14ac:dyDescent="0.35">
      <c r="A5">
        <v>41</v>
      </c>
      <c r="B5">
        <v>0</v>
      </c>
      <c r="C5">
        <v>1.75966219999827</v>
      </c>
      <c r="D5" t="str">
        <f t="shared" si="0"/>
        <v>pre</v>
      </c>
    </row>
    <row r="6" spans="1:6" x14ac:dyDescent="0.35">
      <c r="A6">
        <v>32</v>
      </c>
      <c r="B6">
        <v>0</v>
      </c>
      <c r="C6">
        <v>1.7982673000078599</v>
      </c>
      <c r="D6" t="str">
        <f t="shared" si="0"/>
        <v>pre</v>
      </c>
      <c r="E6" t="s">
        <v>6</v>
      </c>
      <c r="F6">
        <f>1-AVERAGEIF(D:D,"pre",B:B)</f>
        <v>0.80379746835443044</v>
      </c>
    </row>
    <row r="7" spans="1:6" x14ac:dyDescent="0.35">
      <c r="A7">
        <v>50</v>
      </c>
      <c r="B7">
        <v>1</v>
      </c>
      <c r="C7">
        <v>2.1181999000255001</v>
      </c>
      <c r="D7" t="str">
        <f t="shared" si="0"/>
        <v>pre</v>
      </c>
      <c r="E7" t="s">
        <v>7</v>
      </c>
      <c r="F7">
        <f>1-AVERAGEIF(D:D,"post",B:B)</f>
        <v>1</v>
      </c>
    </row>
    <row r="8" spans="1:6" x14ac:dyDescent="0.35">
      <c r="A8">
        <v>4</v>
      </c>
      <c r="B8">
        <v>0</v>
      </c>
      <c r="C8">
        <v>1.8234095000661901</v>
      </c>
      <c r="D8" t="str">
        <f t="shared" si="0"/>
        <v>pre</v>
      </c>
    </row>
    <row r="9" spans="1:6" x14ac:dyDescent="0.35">
      <c r="A9">
        <v>78</v>
      </c>
      <c r="B9">
        <v>0</v>
      </c>
      <c r="C9">
        <v>1.6124383000424101</v>
      </c>
      <c r="D9" t="str">
        <f t="shared" si="0"/>
        <v>pre</v>
      </c>
    </row>
    <row r="10" spans="1:6" x14ac:dyDescent="0.35">
      <c r="A10">
        <v>7</v>
      </c>
      <c r="B10">
        <v>0</v>
      </c>
      <c r="C10">
        <v>1.7933740000007601</v>
      </c>
      <c r="D10" t="str">
        <f t="shared" si="0"/>
        <v>pre</v>
      </c>
    </row>
    <row r="11" spans="1:6" x14ac:dyDescent="0.35">
      <c r="A11">
        <v>46</v>
      </c>
      <c r="B11">
        <v>0</v>
      </c>
      <c r="C11">
        <v>2.75131349998991</v>
      </c>
      <c r="D11" t="str">
        <f t="shared" si="0"/>
        <v>pre</v>
      </c>
    </row>
    <row r="12" spans="1:6" x14ac:dyDescent="0.35">
      <c r="A12">
        <v>66</v>
      </c>
      <c r="B12">
        <v>0</v>
      </c>
      <c r="C12">
        <v>1.80961499991826</v>
      </c>
      <c r="D12" t="str">
        <f t="shared" si="0"/>
        <v>pre</v>
      </c>
    </row>
    <row r="13" spans="1:6" x14ac:dyDescent="0.35">
      <c r="A13">
        <v>51</v>
      </c>
      <c r="B13">
        <v>0</v>
      </c>
      <c r="C13">
        <v>1.6087820000248001</v>
      </c>
      <c r="D13" t="str">
        <f t="shared" si="0"/>
        <v>pre</v>
      </c>
    </row>
    <row r="14" spans="1:6" x14ac:dyDescent="0.35">
      <c r="A14">
        <v>45</v>
      </c>
      <c r="B14">
        <v>1</v>
      </c>
      <c r="C14">
        <v>1.6091963000362699</v>
      </c>
      <c r="D14" t="str">
        <f t="shared" si="0"/>
        <v>pre</v>
      </c>
    </row>
    <row r="15" spans="1:6" x14ac:dyDescent="0.35">
      <c r="A15">
        <v>40</v>
      </c>
      <c r="B15">
        <v>0</v>
      </c>
      <c r="C15">
        <v>1.5473234000382901</v>
      </c>
      <c r="D15" t="str">
        <f t="shared" si="0"/>
        <v>pre</v>
      </c>
    </row>
    <row r="16" spans="1:6" x14ac:dyDescent="0.35">
      <c r="A16">
        <v>64</v>
      </c>
      <c r="B16">
        <v>0</v>
      </c>
      <c r="C16">
        <v>1.6124607999809</v>
      </c>
      <c r="D16" t="str">
        <f t="shared" si="0"/>
        <v>pre</v>
      </c>
    </row>
    <row r="17" spans="1:4" x14ac:dyDescent="0.35">
      <c r="A17">
        <v>49</v>
      </c>
      <c r="B17">
        <v>0</v>
      </c>
      <c r="C17">
        <v>1.8535662000067501</v>
      </c>
      <c r="D17" t="str">
        <f t="shared" si="0"/>
        <v>pre</v>
      </c>
    </row>
    <row r="18" spans="1:4" x14ac:dyDescent="0.35">
      <c r="A18">
        <v>19</v>
      </c>
      <c r="B18">
        <v>0</v>
      </c>
      <c r="C18">
        <v>1.79783389996737</v>
      </c>
      <c r="D18" t="str">
        <f t="shared" si="0"/>
        <v>pre</v>
      </c>
    </row>
    <row r="19" spans="1:4" x14ac:dyDescent="0.35">
      <c r="A19">
        <v>28</v>
      </c>
      <c r="B19">
        <v>0</v>
      </c>
      <c r="C19">
        <v>1.5162021999713</v>
      </c>
      <c r="D19" t="str">
        <f t="shared" si="0"/>
        <v>pre</v>
      </c>
    </row>
    <row r="20" spans="1:4" x14ac:dyDescent="0.35">
      <c r="A20">
        <v>55</v>
      </c>
      <c r="B20">
        <v>0</v>
      </c>
      <c r="C20">
        <v>1.7617696999804999</v>
      </c>
      <c r="D20" t="str">
        <f t="shared" si="0"/>
        <v>pre</v>
      </c>
    </row>
    <row r="21" spans="1:4" x14ac:dyDescent="0.35">
      <c r="A21">
        <v>26</v>
      </c>
      <c r="B21">
        <v>0</v>
      </c>
      <c r="C21">
        <v>2.3435124999377801</v>
      </c>
      <c r="D21" t="str">
        <f t="shared" si="0"/>
        <v>pre</v>
      </c>
    </row>
    <row r="22" spans="1:4" x14ac:dyDescent="0.35">
      <c r="A22">
        <v>27</v>
      </c>
      <c r="B22">
        <v>1</v>
      </c>
      <c r="C22">
        <v>1.3491769999964101</v>
      </c>
      <c r="D22" t="str">
        <f t="shared" si="0"/>
        <v>pre</v>
      </c>
    </row>
    <row r="23" spans="1:4" x14ac:dyDescent="0.35">
      <c r="A23">
        <v>16</v>
      </c>
      <c r="B23">
        <v>1</v>
      </c>
      <c r="C23">
        <v>1.6980416000587799</v>
      </c>
      <c r="D23" t="str">
        <f t="shared" si="0"/>
        <v>pre</v>
      </c>
    </row>
    <row r="24" spans="1:4" x14ac:dyDescent="0.35">
      <c r="A24">
        <v>36</v>
      </c>
      <c r="B24">
        <v>0</v>
      </c>
      <c r="C24">
        <v>1.67402489995583</v>
      </c>
      <c r="D24" t="str">
        <f t="shared" si="0"/>
        <v>pre</v>
      </c>
    </row>
    <row r="25" spans="1:4" x14ac:dyDescent="0.35">
      <c r="A25">
        <v>73</v>
      </c>
      <c r="B25">
        <v>0</v>
      </c>
      <c r="C25">
        <v>1.5430999000091099</v>
      </c>
      <c r="D25" t="str">
        <f t="shared" si="0"/>
        <v>pre</v>
      </c>
    </row>
    <row r="26" spans="1:4" x14ac:dyDescent="0.35">
      <c r="A26">
        <v>12</v>
      </c>
      <c r="B26">
        <v>1</v>
      </c>
      <c r="C26">
        <v>1.82624259998556</v>
      </c>
      <c r="D26" t="str">
        <f t="shared" si="0"/>
        <v>pre</v>
      </c>
    </row>
    <row r="27" spans="1:4" x14ac:dyDescent="0.35">
      <c r="A27">
        <v>10</v>
      </c>
      <c r="B27">
        <v>0</v>
      </c>
      <c r="C27">
        <v>2.6739378999918699</v>
      </c>
      <c r="D27" t="str">
        <f t="shared" si="0"/>
        <v>pre</v>
      </c>
    </row>
    <row r="28" spans="1:4" x14ac:dyDescent="0.35">
      <c r="A28">
        <v>53</v>
      </c>
      <c r="B28">
        <v>0</v>
      </c>
      <c r="C28">
        <v>1.57167059998027</v>
      </c>
      <c r="D28" t="str">
        <f t="shared" si="0"/>
        <v>pre</v>
      </c>
    </row>
    <row r="29" spans="1:4" x14ac:dyDescent="0.35">
      <c r="A29">
        <v>35</v>
      </c>
      <c r="B29">
        <v>0</v>
      </c>
      <c r="C29">
        <v>1.6477394000394201</v>
      </c>
      <c r="D29" t="str">
        <f t="shared" si="0"/>
        <v>pre</v>
      </c>
    </row>
    <row r="30" spans="1:4" x14ac:dyDescent="0.35">
      <c r="A30">
        <v>71</v>
      </c>
      <c r="B30">
        <v>0</v>
      </c>
      <c r="C30">
        <v>1.39300419995561</v>
      </c>
      <c r="D30" t="str">
        <f t="shared" si="0"/>
        <v>pre</v>
      </c>
    </row>
    <row r="31" spans="1:4" x14ac:dyDescent="0.35">
      <c r="A31">
        <v>42</v>
      </c>
      <c r="B31">
        <v>1</v>
      </c>
      <c r="C31">
        <v>1.492069000029</v>
      </c>
      <c r="D31" t="str">
        <f t="shared" si="0"/>
        <v>pre</v>
      </c>
    </row>
    <row r="32" spans="1:4" x14ac:dyDescent="0.35">
      <c r="A32">
        <v>72</v>
      </c>
      <c r="B32">
        <v>0</v>
      </c>
      <c r="C32">
        <v>1.45457840000744</v>
      </c>
      <c r="D32" t="str">
        <f t="shared" si="0"/>
        <v>pre</v>
      </c>
    </row>
    <row r="33" spans="1:4" x14ac:dyDescent="0.35">
      <c r="A33">
        <v>80</v>
      </c>
      <c r="B33">
        <v>0</v>
      </c>
      <c r="C33">
        <v>1.48414390010293</v>
      </c>
      <c r="D33" t="str">
        <f t="shared" si="0"/>
        <v>post</v>
      </c>
    </row>
    <row r="34" spans="1:4" x14ac:dyDescent="0.35">
      <c r="A34">
        <v>34</v>
      </c>
      <c r="B34">
        <v>0</v>
      </c>
      <c r="C34">
        <v>1.72873610001988</v>
      </c>
      <c r="D34" t="str">
        <f t="shared" si="0"/>
        <v>pre</v>
      </c>
    </row>
    <row r="35" spans="1:4" x14ac:dyDescent="0.35">
      <c r="A35">
        <v>63</v>
      </c>
      <c r="B35">
        <v>0</v>
      </c>
      <c r="C35">
        <v>1.3634176000486999</v>
      </c>
      <c r="D35" t="str">
        <f t="shared" si="0"/>
        <v>pre</v>
      </c>
    </row>
    <row r="36" spans="1:4" x14ac:dyDescent="0.35">
      <c r="A36">
        <v>1</v>
      </c>
      <c r="B36">
        <v>0</v>
      </c>
      <c r="C36">
        <v>1.45751589990686</v>
      </c>
      <c r="D36" t="str">
        <f t="shared" si="0"/>
        <v>pre</v>
      </c>
    </row>
    <row r="37" spans="1:4" x14ac:dyDescent="0.35">
      <c r="A37">
        <v>75</v>
      </c>
      <c r="B37">
        <v>0</v>
      </c>
      <c r="C37">
        <v>1.5640358000528001</v>
      </c>
      <c r="D37" t="str">
        <f t="shared" si="0"/>
        <v>pre</v>
      </c>
    </row>
    <row r="38" spans="1:4" x14ac:dyDescent="0.35">
      <c r="A38">
        <v>58</v>
      </c>
      <c r="B38">
        <v>0</v>
      </c>
      <c r="C38">
        <v>1.39069639996159</v>
      </c>
      <c r="D38" t="str">
        <f t="shared" si="0"/>
        <v>pre</v>
      </c>
    </row>
    <row r="39" spans="1:4" x14ac:dyDescent="0.35">
      <c r="A39">
        <v>23</v>
      </c>
      <c r="B39">
        <v>0</v>
      </c>
      <c r="C39">
        <v>1.3255588000174601</v>
      </c>
      <c r="D39" t="str">
        <f t="shared" si="0"/>
        <v>pre</v>
      </c>
    </row>
    <row r="40" spans="1:4" x14ac:dyDescent="0.35">
      <c r="A40">
        <v>68</v>
      </c>
      <c r="B40">
        <v>0</v>
      </c>
      <c r="C40">
        <v>1.3480669000418799</v>
      </c>
      <c r="D40" t="str">
        <f t="shared" si="0"/>
        <v>pre</v>
      </c>
    </row>
    <row r="41" spans="1:4" x14ac:dyDescent="0.35">
      <c r="A41">
        <v>3</v>
      </c>
      <c r="B41">
        <v>0</v>
      </c>
      <c r="C41">
        <v>2.0277107000583698</v>
      </c>
      <c r="D41" t="str">
        <f t="shared" si="0"/>
        <v>pre</v>
      </c>
    </row>
    <row r="42" spans="1:4" x14ac:dyDescent="0.35">
      <c r="A42">
        <v>52</v>
      </c>
      <c r="B42">
        <v>0</v>
      </c>
      <c r="C42">
        <v>1.7463400999549701</v>
      </c>
      <c r="D42" t="str">
        <f t="shared" si="0"/>
        <v>pre</v>
      </c>
    </row>
    <row r="43" spans="1:4" x14ac:dyDescent="0.35">
      <c r="A43">
        <v>11</v>
      </c>
      <c r="B43">
        <v>0</v>
      </c>
      <c r="C43">
        <v>1.3222572000231501</v>
      </c>
      <c r="D43" t="str">
        <f t="shared" si="0"/>
        <v>pre</v>
      </c>
    </row>
    <row r="44" spans="1:4" x14ac:dyDescent="0.35">
      <c r="A44">
        <v>77</v>
      </c>
      <c r="B44">
        <v>1</v>
      </c>
      <c r="C44">
        <v>1.5686319000087601</v>
      </c>
      <c r="D44" t="str">
        <f t="shared" si="0"/>
        <v>pre</v>
      </c>
    </row>
    <row r="45" spans="1:4" x14ac:dyDescent="0.35">
      <c r="A45">
        <v>65</v>
      </c>
      <c r="B45">
        <v>0</v>
      </c>
      <c r="C45">
        <v>1.6683342999313</v>
      </c>
      <c r="D45" t="str">
        <f t="shared" si="0"/>
        <v>pre</v>
      </c>
    </row>
    <row r="46" spans="1:4" x14ac:dyDescent="0.35">
      <c r="A46">
        <v>5</v>
      </c>
      <c r="B46">
        <v>0</v>
      </c>
      <c r="C46">
        <v>1.56423640006687</v>
      </c>
      <c r="D46" t="str">
        <f t="shared" si="0"/>
        <v>pre</v>
      </c>
    </row>
    <row r="47" spans="1:4" x14ac:dyDescent="0.35">
      <c r="A47">
        <v>59</v>
      </c>
      <c r="B47">
        <v>0</v>
      </c>
      <c r="C47">
        <v>2.2231613999465401</v>
      </c>
      <c r="D47" t="str">
        <f t="shared" si="0"/>
        <v>pre</v>
      </c>
    </row>
    <row r="48" spans="1:4" x14ac:dyDescent="0.35">
      <c r="A48">
        <v>79</v>
      </c>
      <c r="B48">
        <v>0</v>
      </c>
      <c r="C48">
        <v>1.60990720009431</v>
      </c>
      <c r="D48" t="str">
        <f t="shared" si="0"/>
        <v>pre</v>
      </c>
    </row>
    <row r="49" spans="1:4" x14ac:dyDescent="0.35">
      <c r="A49">
        <v>31</v>
      </c>
      <c r="B49">
        <v>0</v>
      </c>
      <c r="C49">
        <v>1.6131828000070501</v>
      </c>
      <c r="D49" t="str">
        <f t="shared" si="0"/>
        <v>pre</v>
      </c>
    </row>
    <row r="50" spans="1:4" x14ac:dyDescent="0.35">
      <c r="A50">
        <v>62</v>
      </c>
      <c r="B50">
        <v>0</v>
      </c>
      <c r="C50">
        <v>1.9532474000006901</v>
      </c>
      <c r="D50" t="str">
        <f t="shared" si="0"/>
        <v>pre</v>
      </c>
    </row>
    <row r="51" spans="1:4" x14ac:dyDescent="0.35">
      <c r="A51">
        <v>60</v>
      </c>
      <c r="B51">
        <v>0</v>
      </c>
      <c r="C51">
        <v>1.6664857000578099</v>
      </c>
      <c r="D51" t="str">
        <f t="shared" si="0"/>
        <v>pre</v>
      </c>
    </row>
    <row r="52" spans="1:4" x14ac:dyDescent="0.35">
      <c r="A52">
        <v>69</v>
      </c>
      <c r="B52">
        <v>0</v>
      </c>
      <c r="C52">
        <v>1.96096429997123</v>
      </c>
      <c r="D52" t="str">
        <f t="shared" si="0"/>
        <v>pre</v>
      </c>
    </row>
    <row r="53" spans="1:4" x14ac:dyDescent="0.35">
      <c r="A53">
        <v>43</v>
      </c>
      <c r="B53">
        <v>0</v>
      </c>
      <c r="C53">
        <v>1.5052486000349701</v>
      </c>
      <c r="D53" t="str">
        <f t="shared" si="0"/>
        <v>pre</v>
      </c>
    </row>
    <row r="54" spans="1:4" x14ac:dyDescent="0.35">
      <c r="A54">
        <v>25</v>
      </c>
      <c r="B54">
        <v>1</v>
      </c>
      <c r="C54">
        <v>1.7988190000178199</v>
      </c>
      <c r="D54" t="str">
        <f t="shared" si="0"/>
        <v>pre</v>
      </c>
    </row>
    <row r="55" spans="1:4" x14ac:dyDescent="0.35">
      <c r="A55">
        <v>6</v>
      </c>
      <c r="B55">
        <v>0</v>
      </c>
      <c r="C55">
        <v>1.4563755999551999</v>
      </c>
      <c r="D55" t="str">
        <f t="shared" si="0"/>
        <v>pre</v>
      </c>
    </row>
    <row r="56" spans="1:4" x14ac:dyDescent="0.35">
      <c r="A56">
        <v>54</v>
      </c>
      <c r="B56">
        <v>0</v>
      </c>
      <c r="C56">
        <v>1.42067619995214</v>
      </c>
      <c r="D56" t="str">
        <f t="shared" si="0"/>
        <v>pre</v>
      </c>
    </row>
    <row r="57" spans="1:4" x14ac:dyDescent="0.35">
      <c r="A57">
        <v>48</v>
      </c>
      <c r="B57">
        <v>0</v>
      </c>
      <c r="C57">
        <v>1.5970601000590201</v>
      </c>
      <c r="D57" t="str">
        <f t="shared" si="0"/>
        <v>pre</v>
      </c>
    </row>
    <row r="58" spans="1:4" x14ac:dyDescent="0.35">
      <c r="A58">
        <v>22</v>
      </c>
      <c r="B58">
        <v>0</v>
      </c>
      <c r="C58">
        <v>1.42234420008026</v>
      </c>
      <c r="D58" t="str">
        <f t="shared" si="0"/>
        <v>pre</v>
      </c>
    </row>
    <row r="59" spans="1:4" x14ac:dyDescent="0.35">
      <c r="A59">
        <v>13</v>
      </c>
      <c r="B59">
        <v>1</v>
      </c>
      <c r="C59">
        <v>1.53623930003959</v>
      </c>
      <c r="D59" t="str">
        <f t="shared" si="0"/>
        <v>pre</v>
      </c>
    </row>
    <row r="60" spans="1:4" x14ac:dyDescent="0.35">
      <c r="A60">
        <v>44</v>
      </c>
      <c r="B60">
        <v>0</v>
      </c>
      <c r="C60">
        <v>1.5054301000200201</v>
      </c>
      <c r="D60" t="str">
        <f t="shared" si="0"/>
        <v>pre</v>
      </c>
    </row>
    <row r="61" spans="1:4" x14ac:dyDescent="0.35">
      <c r="A61">
        <v>37</v>
      </c>
      <c r="B61">
        <v>0</v>
      </c>
      <c r="C61">
        <v>1.4562717999797301</v>
      </c>
      <c r="D61" t="str">
        <f t="shared" si="0"/>
        <v>pre</v>
      </c>
    </row>
    <row r="62" spans="1:4" x14ac:dyDescent="0.35">
      <c r="A62">
        <v>9</v>
      </c>
      <c r="B62">
        <v>1</v>
      </c>
      <c r="C62">
        <v>1.60116970003582</v>
      </c>
      <c r="D62" t="str">
        <f t="shared" si="0"/>
        <v>pre</v>
      </c>
    </row>
    <row r="63" spans="1:4" x14ac:dyDescent="0.35">
      <c r="A63">
        <v>67</v>
      </c>
      <c r="B63">
        <v>1</v>
      </c>
      <c r="C63">
        <v>1.4488566999789301</v>
      </c>
      <c r="D63" t="str">
        <f t="shared" si="0"/>
        <v>pre</v>
      </c>
    </row>
    <row r="64" spans="1:4" x14ac:dyDescent="0.35">
      <c r="A64">
        <v>2</v>
      </c>
      <c r="B64">
        <v>1</v>
      </c>
      <c r="C64">
        <v>1.37342349998652</v>
      </c>
      <c r="D64" t="str">
        <f t="shared" si="0"/>
        <v>pre</v>
      </c>
    </row>
    <row r="65" spans="1:4" x14ac:dyDescent="0.35">
      <c r="A65">
        <v>33</v>
      </c>
      <c r="B65">
        <v>0</v>
      </c>
      <c r="C65">
        <v>1.6241577999899099</v>
      </c>
      <c r="D65" t="str">
        <f t="shared" si="0"/>
        <v>pre</v>
      </c>
    </row>
    <row r="66" spans="1:4" x14ac:dyDescent="0.35">
      <c r="A66">
        <v>14</v>
      </c>
      <c r="B66">
        <v>0</v>
      </c>
      <c r="C66">
        <v>1.41730400000233</v>
      </c>
      <c r="D66" t="str">
        <f t="shared" si="0"/>
        <v>pre</v>
      </c>
    </row>
    <row r="67" spans="1:4" x14ac:dyDescent="0.35">
      <c r="A67">
        <v>47</v>
      </c>
      <c r="B67">
        <v>0</v>
      </c>
      <c r="C67">
        <v>1.5588790000183499</v>
      </c>
      <c r="D67" t="str">
        <f t="shared" si="0"/>
        <v>pre</v>
      </c>
    </row>
    <row r="68" spans="1:4" x14ac:dyDescent="0.35">
      <c r="A68">
        <v>8</v>
      </c>
      <c r="B68">
        <v>0</v>
      </c>
      <c r="C68">
        <v>1.3858444000361401</v>
      </c>
      <c r="D68" t="str">
        <f t="shared" ref="D68:D131" si="1">IF(A68&lt;80,"pre","post")</f>
        <v>pre</v>
      </c>
    </row>
    <row r="69" spans="1:4" x14ac:dyDescent="0.35">
      <c r="A69">
        <v>20</v>
      </c>
      <c r="B69">
        <v>1</v>
      </c>
      <c r="C69">
        <v>1.6848651000764201</v>
      </c>
      <c r="D69" t="str">
        <f t="shared" si="1"/>
        <v>pre</v>
      </c>
    </row>
    <row r="70" spans="1:4" x14ac:dyDescent="0.35">
      <c r="A70">
        <v>38</v>
      </c>
      <c r="B70">
        <v>1</v>
      </c>
      <c r="C70">
        <v>1.49342780001461</v>
      </c>
      <c r="D70" t="str">
        <f t="shared" si="1"/>
        <v>pre</v>
      </c>
    </row>
    <row r="71" spans="1:4" x14ac:dyDescent="0.35">
      <c r="A71">
        <v>61</v>
      </c>
      <c r="B71">
        <v>0</v>
      </c>
      <c r="C71">
        <v>1.2865021000616199</v>
      </c>
      <c r="D71" t="str">
        <f t="shared" si="1"/>
        <v>pre</v>
      </c>
    </row>
    <row r="72" spans="1:4" x14ac:dyDescent="0.35">
      <c r="A72">
        <v>70</v>
      </c>
      <c r="B72">
        <v>0</v>
      </c>
      <c r="C72">
        <v>1.4097496001049801</v>
      </c>
      <c r="D72" t="str">
        <f t="shared" si="1"/>
        <v>pre</v>
      </c>
    </row>
    <row r="73" spans="1:4" x14ac:dyDescent="0.35">
      <c r="A73">
        <v>15</v>
      </c>
      <c r="B73">
        <v>0</v>
      </c>
      <c r="C73">
        <v>1.4474788999650601</v>
      </c>
      <c r="D73" t="str">
        <f t="shared" si="1"/>
        <v>pre</v>
      </c>
    </row>
    <row r="74" spans="1:4" x14ac:dyDescent="0.35">
      <c r="A74">
        <v>29</v>
      </c>
      <c r="B74">
        <v>0</v>
      </c>
      <c r="C74">
        <v>1.5013308000052299</v>
      </c>
      <c r="D74" t="str">
        <f t="shared" si="1"/>
        <v>pre</v>
      </c>
    </row>
    <row r="75" spans="1:4" x14ac:dyDescent="0.35">
      <c r="A75">
        <v>24</v>
      </c>
      <c r="B75">
        <v>0</v>
      </c>
      <c r="C75">
        <v>1.33298279996961</v>
      </c>
      <c r="D75" t="str">
        <f t="shared" si="1"/>
        <v>pre</v>
      </c>
    </row>
    <row r="76" spans="1:4" x14ac:dyDescent="0.35">
      <c r="A76">
        <v>57</v>
      </c>
      <c r="B76">
        <v>0</v>
      </c>
      <c r="C76">
        <v>1.62204190006013</v>
      </c>
      <c r="D76" t="str">
        <f t="shared" si="1"/>
        <v>pre</v>
      </c>
    </row>
    <row r="77" spans="1:4" x14ac:dyDescent="0.35">
      <c r="A77">
        <v>30</v>
      </c>
      <c r="B77">
        <v>1</v>
      </c>
      <c r="C77">
        <v>1.8719197999453101</v>
      </c>
      <c r="D77" t="str">
        <f t="shared" si="1"/>
        <v>pre</v>
      </c>
    </row>
    <row r="78" spans="1:4" x14ac:dyDescent="0.35">
      <c r="A78">
        <v>39</v>
      </c>
      <c r="B78">
        <v>1</v>
      </c>
      <c r="C78">
        <v>1.36916679993737</v>
      </c>
      <c r="D78" t="str">
        <f t="shared" si="1"/>
        <v>pre</v>
      </c>
    </row>
    <row r="79" spans="1:4" x14ac:dyDescent="0.35">
      <c r="A79">
        <v>74</v>
      </c>
      <c r="B79">
        <v>0</v>
      </c>
      <c r="C79">
        <v>1.7925025000004</v>
      </c>
      <c r="D79" t="str">
        <f t="shared" si="1"/>
        <v>pre</v>
      </c>
    </row>
    <row r="80" spans="1:4" x14ac:dyDescent="0.35">
      <c r="A80">
        <v>56</v>
      </c>
      <c r="B80">
        <v>0</v>
      </c>
      <c r="C80">
        <v>1.9007907999912199</v>
      </c>
      <c r="D80" t="str">
        <f t="shared" si="1"/>
        <v>pre</v>
      </c>
    </row>
    <row r="81" spans="1:4" x14ac:dyDescent="0.35">
      <c r="A81">
        <v>76</v>
      </c>
      <c r="B81">
        <v>0</v>
      </c>
      <c r="C81">
        <v>1.6285166000016</v>
      </c>
      <c r="D81" t="str">
        <f t="shared" si="1"/>
        <v>pre</v>
      </c>
    </row>
    <row r="82" spans="1:4" x14ac:dyDescent="0.35">
      <c r="A82">
        <v>18</v>
      </c>
      <c r="B82">
        <v>0</v>
      </c>
      <c r="C82">
        <v>1.7627899999497401</v>
      </c>
      <c r="D82" t="str">
        <f t="shared" si="1"/>
        <v>pre</v>
      </c>
    </row>
    <row r="83" spans="1:4" x14ac:dyDescent="0.35">
      <c r="A83">
        <v>70</v>
      </c>
      <c r="B83">
        <v>0</v>
      </c>
      <c r="C83">
        <v>2.5988566000014499</v>
      </c>
      <c r="D83" t="str">
        <f t="shared" si="1"/>
        <v>pre</v>
      </c>
    </row>
    <row r="84" spans="1:4" x14ac:dyDescent="0.35">
      <c r="A84">
        <v>42</v>
      </c>
      <c r="B84">
        <v>0</v>
      </c>
      <c r="C84">
        <v>1.33861229999456</v>
      </c>
      <c r="D84" t="str">
        <f t="shared" si="1"/>
        <v>pre</v>
      </c>
    </row>
    <row r="85" spans="1:4" x14ac:dyDescent="0.35">
      <c r="A85">
        <v>29</v>
      </c>
      <c r="B85">
        <v>0</v>
      </c>
      <c r="C85">
        <v>2.3018101999768898</v>
      </c>
      <c r="D85" t="str">
        <f t="shared" si="1"/>
        <v>pre</v>
      </c>
    </row>
    <row r="86" spans="1:4" x14ac:dyDescent="0.35">
      <c r="A86">
        <v>69</v>
      </c>
      <c r="B86">
        <v>0</v>
      </c>
      <c r="C86">
        <v>1.9169195999857001</v>
      </c>
      <c r="D86" t="str">
        <f t="shared" si="1"/>
        <v>pre</v>
      </c>
    </row>
    <row r="87" spans="1:4" x14ac:dyDescent="0.35">
      <c r="A87">
        <v>9</v>
      </c>
      <c r="B87">
        <v>0</v>
      </c>
      <c r="C87">
        <v>1.84587610000744</v>
      </c>
      <c r="D87" t="str">
        <f t="shared" si="1"/>
        <v>pre</v>
      </c>
    </row>
    <row r="88" spans="1:4" x14ac:dyDescent="0.35">
      <c r="A88">
        <v>33</v>
      </c>
      <c r="B88">
        <v>0</v>
      </c>
      <c r="C88">
        <v>2.8019483999814798</v>
      </c>
      <c r="D88" t="str">
        <f t="shared" si="1"/>
        <v>pre</v>
      </c>
    </row>
    <row r="89" spans="1:4" x14ac:dyDescent="0.35">
      <c r="A89">
        <v>7</v>
      </c>
      <c r="B89">
        <v>0</v>
      </c>
      <c r="C89">
        <v>1.9777155000483599</v>
      </c>
      <c r="D89" t="str">
        <f t="shared" si="1"/>
        <v>pre</v>
      </c>
    </row>
    <row r="90" spans="1:4" x14ac:dyDescent="0.35">
      <c r="A90">
        <v>59</v>
      </c>
      <c r="B90">
        <v>1</v>
      </c>
      <c r="C90">
        <v>2.43131879996508</v>
      </c>
      <c r="D90" t="str">
        <f t="shared" si="1"/>
        <v>pre</v>
      </c>
    </row>
    <row r="91" spans="1:4" x14ac:dyDescent="0.35">
      <c r="A91">
        <v>62</v>
      </c>
      <c r="B91">
        <v>0</v>
      </c>
      <c r="C91">
        <v>2.1989149999571902</v>
      </c>
      <c r="D91" t="str">
        <f t="shared" si="1"/>
        <v>pre</v>
      </c>
    </row>
    <row r="92" spans="1:4" x14ac:dyDescent="0.35">
      <c r="A92">
        <v>40</v>
      </c>
      <c r="B92">
        <v>0</v>
      </c>
      <c r="C92">
        <v>1.3875540000153701</v>
      </c>
      <c r="D92" t="str">
        <f t="shared" si="1"/>
        <v>pre</v>
      </c>
    </row>
    <row r="93" spans="1:4" x14ac:dyDescent="0.35">
      <c r="A93">
        <v>24</v>
      </c>
      <c r="B93">
        <v>0</v>
      </c>
      <c r="C93">
        <v>1.8506506000412599</v>
      </c>
      <c r="D93" t="str">
        <f t="shared" si="1"/>
        <v>pre</v>
      </c>
    </row>
    <row r="94" spans="1:4" x14ac:dyDescent="0.35">
      <c r="A94">
        <v>63</v>
      </c>
      <c r="B94">
        <v>0</v>
      </c>
      <c r="C94">
        <v>1.90738350001629</v>
      </c>
      <c r="D94" t="str">
        <f t="shared" si="1"/>
        <v>pre</v>
      </c>
    </row>
    <row r="95" spans="1:4" x14ac:dyDescent="0.35">
      <c r="A95">
        <v>66</v>
      </c>
      <c r="B95">
        <v>0</v>
      </c>
      <c r="C95">
        <v>1.37870760005898</v>
      </c>
      <c r="D95" t="str">
        <f t="shared" si="1"/>
        <v>pre</v>
      </c>
    </row>
    <row r="96" spans="1:4" x14ac:dyDescent="0.35">
      <c r="A96">
        <v>16</v>
      </c>
      <c r="B96">
        <v>0</v>
      </c>
      <c r="C96">
        <v>1.6812731999671</v>
      </c>
      <c r="D96" t="str">
        <f t="shared" si="1"/>
        <v>pre</v>
      </c>
    </row>
    <row r="97" spans="1:4" x14ac:dyDescent="0.35">
      <c r="A97">
        <v>76</v>
      </c>
      <c r="B97">
        <v>0</v>
      </c>
      <c r="C97">
        <v>2.2879602999892001</v>
      </c>
      <c r="D97" t="str">
        <f t="shared" si="1"/>
        <v>pre</v>
      </c>
    </row>
    <row r="98" spans="1:4" x14ac:dyDescent="0.35">
      <c r="A98">
        <v>73</v>
      </c>
      <c r="B98">
        <v>0</v>
      </c>
      <c r="C98">
        <v>1.3514698999933801</v>
      </c>
      <c r="D98" t="str">
        <f t="shared" si="1"/>
        <v>pre</v>
      </c>
    </row>
    <row r="99" spans="1:4" x14ac:dyDescent="0.35">
      <c r="A99">
        <v>51</v>
      </c>
      <c r="B99">
        <v>0</v>
      </c>
      <c r="C99">
        <v>1.47011859994381</v>
      </c>
      <c r="D99" t="str">
        <f t="shared" si="1"/>
        <v>pre</v>
      </c>
    </row>
    <row r="100" spans="1:4" x14ac:dyDescent="0.35">
      <c r="A100">
        <v>2</v>
      </c>
      <c r="B100">
        <v>1</v>
      </c>
      <c r="C100">
        <v>1.7832306000636799</v>
      </c>
      <c r="D100" t="str">
        <f t="shared" si="1"/>
        <v>pre</v>
      </c>
    </row>
    <row r="101" spans="1:4" x14ac:dyDescent="0.35">
      <c r="A101">
        <v>25</v>
      </c>
      <c r="B101">
        <v>1</v>
      </c>
      <c r="C101">
        <v>1.57644400000572</v>
      </c>
      <c r="D101" t="str">
        <f t="shared" si="1"/>
        <v>pre</v>
      </c>
    </row>
    <row r="102" spans="1:4" x14ac:dyDescent="0.35">
      <c r="A102">
        <v>52</v>
      </c>
      <c r="B102">
        <v>0</v>
      </c>
      <c r="C102">
        <v>1.4127278999658299</v>
      </c>
      <c r="D102" t="str">
        <f t="shared" si="1"/>
        <v>pre</v>
      </c>
    </row>
    <row r="103" spans="1:4" x14ac:dyDescent="0.35">
      <c r="A103">
        <v>1</v>
      </c>
      <c r="B103">
        <v>0</v>
      </c>
      <c r="C103">
        <v>2.1257965000113401</v>
      </c>
      <c r="D103" t="str">
        <f t="shared" si="1"/>
        <v>pre</v>
      </c>
    </row>
    <row r="104" spans="1:4" x14ac:dyDescent="0.35">
      <c r="A104">
        <v>64</v>
      </c>
      <c r="B104">
        <v>0</v>
      </c>
      <c r="C104">
        <v>1.6373977999901399</v>
      </c>
      <c r="D104" t="str">
        <f t="shared" si="1"/>
        <v>pre</v>
      </c>
    </row>
    <row r="105" spans="1:4" x14ac:dyDescent="0.35">
      <c r="A105">
        <v>39</v>
      </c>
      <c r="B105">
        <v>1</v>
      </c>
      <c r="C105">
        <v>1.6416271000634799</v>
      </c>
      <c r="D105" t="str">
        <f t="shared" si="1"/>
        <v>pre</v>
      </c>
    </row>
    <row r="106" spans="1:4" x14ac:dyDescent="0.35">
      <c r="A106">
        <v>61</v>
      </c>
      <c r="B106">
        <v>0</v>
      </c>
      <c r="C106">
        <v>1.49567989993374</v>
      </c>
      <c r="D106" t="str">
        <f t="shared" si="1"/>
        <v>pre</v>
      </c>
    </row>
    <row r="107" spans="1:4" x14ac:dyDescent="0.35">
      <c r="A107">
        <v>13</v>
      </c>
      <c r="B107">
        <v>1</v>
      </c>
      <c r="C107">
        <v>1.7758802000898799</v>
      </c>
      <c r="D107" t="str">
        <f t="shared" si="1"/>
        <v>pre</v>
      </c>
    </row>
    <row r="108" spans="1:4" x14ac:dyDescent="0.35">
      <c r="A108">
        <v>36</v>
      </c>
      <c r="B108">
        <v>0</v>
      </c>
      <c r="C108">
        <v>1.61580340005457</v>
      </c>
      <c r="D108" t="str">
        <f t="shared" si="1"/>
        <v>pre</v>
      </c>
    </row>
    <row r="109" spans="1:4" x14ac:dyDescent="0.35">
      <c r="A109">
        <v>58</v>
      </c>
      <c r="B109">
        <v>0</v>
      </c>
      <c r="C109">
        <v>1.8177908000070599</v>
      </c>
      <c r="D109" t="str">
        <f t="shared" si="1"/>
        <v>pre</v>
      </c>
    </row>
    <row r="110" spans="1:4" x14ac:dyDescent="0.35">
      <c r="A110">
        <v>6</v>
      </c>
      <c r="B110">
        <v>0</v>
      </c>
      <c r="C110">
        <v>1.5282926999498101</v>
      </c>
      <c r="D110" t="str">
        <f t="shared" si="1"/>
        <v>pre</v>
      </c>
    </row>
    <row r="111" spans="1:4" x14ac:dyDescent="0.35">
      <c r="A111">
        <v>8</v>
      </c>
      <c r="B111">
        <v>0</v>
      </c>
      <c r="C111">
        <v>2.8326497999951199</v>
      </c>
      <c r="D111" t="str">
        <f t="shared" si="1"/>
        <v>pre</v>
      </c>
    </row>
    <row r="112" spans="1:4" x14ac:dyDescent="0.35">
      <c r="A112">
        <v>30</v>
      </c>
      <c r="B112">
        <v>1</v>
      </c>
      <c r="C112">
        <v>1.7552382999565399</v>
      </c>
      <c r="D112" t="str">
        <f t="shared" si="1"/>
        <v>pre</v>
      </c>
    </row>
    <row r="113" spans="1:4" x14ac:dyDescent="0.35">
      <c r="A113">
        <v>72</v>
      </c>
      <c r="B113">
        <v>0</v>
      </c>
      <c r="C113">
        <v>1.5320835999445901</v>
      </c>
      <c r="D113" t="str">
        <f t="shared" si="1"/>
        <v>pre</v>
      </c>
    </row>
    <row r="114" spans="1:4" x14ac:dyDescent="0.35">
      <c r="A114">
        <v>34</v>
      </c>
      <c r="B114">
        <v>0</v>
      </c>
      <c r="C114">
        <v>1.45175140001811</v>
      </c>
      <c r="D114" t="str">
        <f t="shared" si="1"/>
        <v>pre</v>
      </c>
    </row>
    <row r="115" spans="1:4" x14ac:dyDescent="0.35">
      <c r="A115">
        <v>32</v>
      </c>
      <c r="B115">
        <v>0</v>
      </c>
      <c r="C115">
        <v>1.6792768000159399</v>
      </c>
      <c r="D115" t="str">
        <f t="shared" si="1"/>
        <v>pre</v>
      </c>
    </row>
    <row r="116" spans="1:4" x14ac:dyDescent="0.35">
      <c r="A116">
        <v>43</v>
      </c>
      <c r="B116">
        <v>0</v>
      </c>
      <c r="C116">
        <v>1.64400850003585</v>
      </c>
      <c r="D116" t="str">
        <f t="shared" si="1"/>
        <v>pre</v>
      </c>
    </row>
    <row r="117" spans="1:4" x14ac:dyDescent="0.35">
      <c r="A117">
        <v>15</v>
      </c>
      <c r="B117">
        <v>0</v>
      </c>
      <c r="C117">
        <v>1.8167459000833299</v>
      </c>
      <c r="D117" t="str">
        <f t="shared" si="1"/>
        <v>pre</v>
      </c>
    </row>
    <row r="118" spans="1:4" x14ac:dyDescent="0.35">
      <c r="A118">
        <v>56</v>
      </c>
      <c r="B118">
        <v>0</v>
      </c>
      <c r="C118">
        <v>2.4655329999513902</v>
      </c>
      <c r="D118" t="str">
        <f t="shared" si="1"/>
        <v>pre</v>
      </c>
    </row>
    <row r="119" spans="1:4" x14ac:dyDescent="0.35">
      <c r="A119">
        <v>12</v>
      </c>
      <c r="B119">
        <v>1</v>
      </c>
      <c r="C119">
        <v>4.36805319995619</v>
      </c>
      <c r="D119" t="str">
        <f t="shared" si="1"/>
        <v>pre</v>
      </c>
    </row>
    <row r="120" spans="1:4" x14ac:dyDescent="0.35">
      <c r="A120">
        <v>37</v>
      </c>
      <c r="B120">
        <v>0</v>
      </c>
      <c r="C120">
        <v>1.6428648000582999</v>
      </c>
      <c r="D120" t="str">
        <f t="shared" si="1"/>
        <v>pre</v>
      </c>
    </row>
    <row r="121" spans="1:4" x14ac:dyDescent="0.35">
      <c r="A121">
        <v>28</v>
      </c>
      <c r="B121">
        <v>0</v>
      </c>
      <c r="C121">
        <v>2.0906729000853299</v>
      </c>
      <c r="D121" t="str">
        <f t="shared" si="1"/>
        <v>pre</v>
      </c>
    </row>
    <row r="122" spans="1:4" x14ac:dyDescent="0.35">
      <c r="A122">
        <v>49</v>
      </c>
      <c r="B122">
        <v>0</v>
      </c>
      <c r="C122">
        <v>1.6790007000090501</v>
      </c>
      <c r="D122" t="str">
        <f t="shared" si="1"/>
        <v>pre</v>
      </c>
    </row>
    <row r="123" spans="1:4" x14ac:dyDescent="0.35">
      <c r="A123">
        <v>20</v>
      </c>
      <c r="B123">
        <v>1</v>
      </c>
      <c r="C123">
        <v>1.8443537000566701</v>
      </c>
      <c r="D123" t="str">
        <f t="shared" si="1"/>
        <v>pre</v>
      </c>
    </row>
    <row r="124" spans="1:4" x14ac:dyDescent="0.35">
      <c r="A124">
        <v>27</v>
      </c>
      <c r="B124">
        <v>1</v>
      </c>
      <c r="C124">
        <v>1.6283758000936299</v>
      </c>
      <c r="D124" t="str">
        <f t="shared" si="1"/>
        <v>pre</v>
      </c>
    </row>
    <row r="125" spans="1:4" x14ac:dyDescent="0.35">
      <c r="A125">
        <v>55</v>
      </c>
      <c r="B125">
        <v>0</v>
      </c>
      <c r="C125">
        <v>1.79419059993233</v>
      </c>
      <c r="D125" t="str">
        <f t="shared" si="1"/>
        <v>pre</v>
      </c>
    </row>
    <row r="126" spans="1:4" x14ac:dyDescent="0.35">
      <c r="A126">
        <v>65</v>
      </c>
      <c r="B126">
        <v>0</v>
      </c>
      <c r="C126">
        <v>1.6510257000336399</v>
      </c>
      <c r="D126" t="str">
        <f t="shared" si="1"/>
        <v>pre</v>
      </c>
    </row>
    <row r="127" spans="1:4" x14ac:dyDescent="0.35">
      <c r="A127">
        <v>47</v>
      </c>
      <c r="B127">
        <v>0</v>
      </c>
      <c r="C127">
        <v>1.56885139993391</v>
      </c>
      <c r="D127" t="str">
        <f t="shared" si="1"/>
        <v>pre</v>
      </c>
    </row>
    <row r="128" spans="1:4" x14ac:dyDescent="0.35">
      <c r="A128">
        <v>60</v>
      </c>
      <c r="B128">
        <v>0</v>
      </c>
      <c r="C128">
        <v>1.8214476000284701</v>
      </c>
      <c r="D128" t="str">
        <f t="shared" si="1"/>
        <v>pre</v>
      </c>
    </row>
    <row r="129" spans="1:4" x14ac:dyDescent="0.35">
      <c r="A129">
        <v>54</v>
      </c>
      <c r="B129">
        <v>0</v>
      </c>
      <c r="C129">
        <v>2.7330457000061799</v>
      </c>
      <c r="D129" t="str">
        <f t="shared" si="1"/>
        <v>pre</v>
      </c>
    </row>
    <row r="130" spans="1:4" x14ac:dyDescent="0.35">
      <c r="A130">
        <v>75</v>
      </c>
      <c r="B130">
        <v>0</v>
      </c>
      <c r="C130">
        <v>1.7770796000258899</v>
      </c>
      <c r="D130" t="str">
        <f t="shared" si="1"/>
        <v>pre</v>
      </c>
    </row>
    <row r="131" spans="1:4" x14ac:dyDescent="0.35">
      <c r="A131">
        <v>50</v>
      </c>
      <c r="B131">
        <v>1</v>
      </c>
      <c r="C131">
        <v>5.2961575000081202</v>
      </c>
      <c r="D131" t="str">
        <f t="shared" si="1"/>
        <v>pre</v>
      </c>
    </row>
    <row r="132" spans="1:4" x14ac:dyDescent="0.35">
      <c r="A132">
        <v>78</v>
      </c>
      <c r="B132">
        <v>0</v>
      </c>
      <c r="C132">
        <v>2.0359387000789799</v>
      </c>
      <c r="D132" t="str">
        <f t="shared" ref="D132:D162" si="2">IF(A132&lt;80,"pre","post")</f>
        <v>pre</v>
      </c>
    </row>
    <row r="133" spans="1:4" x14ac:dyDescent="0.35">
      <c r="A133">
        <v>21</v>
      </c>
      <c r="B133">
        <v>0</v>
      </c>
      <c r="C133">
        <v>1.70084190007764</v>
      </c>
      <c r="D133" t="str">
        <f t="shared" si="2"/>
        <v>pre</v>
      </c>
    </row>
    <row r="134" spans="1:4" x14ac:dyDescent="0.35">
      <c r="A134">
        <v>80</v>
      </c>
      <c r="B134">
        <v>0</v>
      </c>
      <c r="C134">
        <v>1.66618669999297</v>
      </c>
      <c r="D134" t="str">
        <f t="shared" si="2"/>
        <v>post</v>
      </c>
    </row>
    <row r="135" spans="1:4" x14ac:dyDescent="0.35">
      <c r="A135">
        <v>57</v>
      </c>
      <c r="B135">
        <v>0</v>
      </c>
      <c r="C135">
        <v>1.7446089000441101</v>
      </c>
      <c r="D135" t="str">
        <f t="shared" si="2"/>
        <v>pre</v>
      </c>
    </row>
    <row r="136" spans="1:4" x14ac:dyDescent="0.35">
      <c r="A136">
        <v>17</v>
      </c>
      <c r="B136">
        <v>0</v>
      </c>
      <c r="C136">
        <v>1.50569000001996</v>
      </c>
      <c r="D136" t="str">
        <f t="shared" si="2"/>
        <v>pre</v>
      </c>
    </row>
    <row r="137" spans="1:4" x14ac:dyDescent="0.35">
      <c r="A137">
        <v>38</v>
      </c>
      <c r="B137">
        <v>1</v>
      </c>
      <c r="C137">
        <v>1.5908542999532</v>
      </c>
      <c r="D137" t="str">
        <f t="shared" si="2"/>
        <v>pre</v>
      </c>
    </row>
    <row r="138" spans="1:4" x14ac:dyDescent="0.35">
      <c r="A138">
        <v>67</v>
      </c>
      <c r="B138">
        <v>1</v>
      </c>
      <c r="C138">
        <v>1.9597780000185501</v>
      </c>
      <c r="D138" t="str">
        <f t="shared" si="2"/>
        <v>pre</v>
      </c>
    </row>
    <row r="139" spans="1:4" x14ac:dyDescent="0.35">
      <c r="A139">
        <v>19</v>
      </c>
      <c r="B139">
        <v>0</v>
      </c>
      <c r="C139">
        <v>1.78233720001298</v>
      </c>
      <c r="D139" t="str">
        <f t="shared" si="2"/>
        <v>pre</v>
      </c>
    </row>
    <row r="140" spans="1:4" x14ac:dyDescent="0.35">
      <c r="A140">
        <v>14</v>
      </c>
      <c r="B140">
        <v>0</v>
      </c>
      <c r="C140">
        <v>1.6616744000930299</v>
      </c>
      <c r="D140" t="str">
        <f t="shared" si="2"/>
        <v>pre</v>
      </c>
    </row>
    <row r="141" spans="1:4" x14ac:dyDescent="0.35">
      <c r="A141">
        <v>23</v>
      </c>
      <c r="B141">
        <v>0</v>
      </c>
      <c r="C141">
        <v>2.46506319998297</v>
      </c>
      <c r="D141" t="str">
        <f t="shared" si="2"/>
        <v>pre</v>
      </c>
    </row>
    <row r="142" spans="1:4" x14ac:dyDescent="0.35">
      <c r="A142">
        <v>44</v>
      </c>
      <c r="B142">
        <v>1</v>
      </c>
      <c r="C142">
        <v>1.9055716000730101</v>
      </c>
      <c r="D142" t="str">
        <f t="shared" si="2"/>
        <v>pre</v>
      </c>
    </row>
    <row r="143" spans="1:4" x14ac:dyDescent="0.35">
      <c r="A143">
        <v>48</v>
      </c>
      <c r="B143">
        <v>0</v>
      </c>
      <c r="C143">
        <v>1.72762060002423</v>
      </c>
      <c r="D143" t="str">
        <f t="shared" si="2"/>
        <v>pre</v>
      </c>
    </row>
    <row r="144" spans="1:4" x14ac:dyDescent="0.35">
      <c r="A144">
        <v>45</v>
      </c>
      <c r="B144">
        <v>1</v>
      </c>
      <c r="C144">
        <v>1.60297110001556</v>
      </c>
      <c r="D144" t="str">
        <f t="shared" si="2"/>
        <v>pre</v>
      </c>
    </row>
    <row r="145" spans="1:4" x14ac:dyDescent="0.35">
      <c r="A145">
        <v>10</v>
      </c>
      <c r="B145">
        <v>0</v>
      </c>
      <c r="C145">
        <v>1.6166393000166801</v>
      </c>
      <c r="D145" t="str">
        <f t="shared" si="2"/>
        <v>pre</v>
      </c>
    </row>
    <row r="146" spans="1:4" x14ac:dyDescent="0.35">
      <c r="A146">
        <v>3</v>
      </c>
      <c r="B146">
        <v>0</v>
      </c>
      <c r="C146">
        <v>1.5599242999451199</v>
      </c>
      <c r="D146" t="str">
        <f t="shared" si="2"/>
        <v>pre</v>
      </c>
    </row>
    <row r="147" spans="1:4" x14ac:dyDescent="0.35">
      <c r="A147">
        <v>18</v>
      </c>
      <c r="B147">
        <v>0</v>
      </c>
      <c r="C147">
        <v>1.41155119996983</v>
      </c>
      <c r="D147" t="str">
        <f t="shared" si="2"/>
        <v>pre</v>
      </c>
    </row>
    <row r="148" spans="1:4" x14ac:dyDescent="0.35">
      <c r="A148">
        <v>46</v>
      </c>
      <c r="B148">
        <v>0</v>
      </c>
      <c r="C148">
        <v>1.6367678999667901</v>
      </c>
      <c r="D148" t="str">
        <f t="shared" si="2"/>
        <v>pre</v>
      </c>
    </row>
    <row r="149" spans="1:4" x14ac:dyDescent="0.35">
      <c r="A149">
        <v>74</v>
      </c>
      <c r="B149">
        <v>0</v>
      </c>
      <c r="C149">
        <v>1.7099992999574101</v>
      </c>
      <c r="D149" t="str">
        <f t="shared" si="2"/>
        <v>pre</v>
      </c>
    </row>
    <row r="150" spans="1:4" x14ac:dyDescent="0.35">
      <c r="A150">
        <v>77</v>
      </c>
      <c r="B150">
        <v>1</v>
      </c>
      <c r="C150">
        <v>2.1282491000602</v>
      </c>
      <c r="D150" t="str">
        <f t="shared" si="2"/>
        <v>pre</v>
      </c>
    </row>
    <row r="151" spans="1:4" x14ac:dyDescent="0.35">
      <c r="A151">
        <v>41</v>
      </c>
      <c r="B151">
        <v>0</v>
      </c>
      <c r="C151">
        <v>1.48296659998595</v>
      </c>
      <c r="D151" t="str">
        <f t="shared" si="2"/>
        <v>pre</v>
      </c>
    </row>
    <row r="152" spans="1:4" x14ac:dyDescent="0.35">
      <c r="A152">
        <v>35</v>
      </c>
      <c r="B152">
        <v>0</v>
      </c>
      <c r="C152">
        <v>1.5954414999578099</v>
      </c>
      <c r="D152" t="str">
        <f t="shared" si="2"/>
        <v>pre</v>
      </c>
    </row>
    <row r="153" spans="1:4" x14ac:dyDescent="0.35">
      <c r="A153">
        <v>79</v>
      </c>
      <c r="B153">
        <v>0</v>
      </c>
      <c r="C153">
        <v>1.5405751999933199</v>
      </c>
      <c r="D153" t="str">
        <f t="shared" si="2"/>
        <v>pre</v>
      </c>
    </row>
    <row r="154" spans="1:4" x14ac:dyDescent="0.35">
      <c r="A154">
        <v>53</v>
      </c>
      <c r="B154">
        <v>0</v>
      </c>
      <c r="C154">
        <v>1.43288320000283</v>
      </c>
      <c r="D154" t="str">
        <f t="shared" si="2"/>
        <v>pre</v>
      </c>
    </row>
    <row r="155" spans="1:4" x14ac:dyDescent="0.35">
      <c r="A155">
        <v>31</v>
      </c>
      <c r="B155">
        <v>0</v>
      </c>
      <c r="C155">
        <v>1.7241838000481899</v>
      </c>
      <c r="D155" t="str">
        <f t="shared" si="2"/>
        <v>pre</v>
      </c>
    </row>
    <row r="156" spans="1:4" x14ac:dyDescent="0.35">
      <c r="A156">
        <v>71</v>
      </c>
      <c r="B156">
        <v>0</v>
      </c>
      <c r="C156">
        <v>1.6990978999529001</v>
      </c>
      <c r="D156" t="str">
        <f t="shared" si="2"/>
        <v>pre</v>
      </c>
    </row>
    <row r="157" spans="1:4" x14ac:dyDescent="0.35">
      <c r="A157">
        <v>68</v>
      </c>
      <c r="B157">
        <v>0</v>
      </c>
      <c r="C157">
        <v>1.84446809999644</v>
      </c>
      <c r="D157" t="str">
        <f t="shared" si="2"/>
        <v>pre</v>
      </c>
    </row>
    <row r="158" spans="1:4" x14ac:dyDescent="0.35">
      <c r="A158">
        <v>11</v>
      </c>
      <c r="B158">
        <v>0</v>
      </c>
      <c r="C158">
        <v>1.46484839997719</v>
      </c>
      <c r="D158" t="str">
        <f t="shared" si="2"/>
        <v>pre</v>
      </c>
    </row>
    <row r="159" spans="1:4" x14ac:dyDescent="0.35">
      <c r="A159">
        <v>22</v>
      </c>
      <c r="B159">
        <v>0</v>
      </c>
      <c r="C159">
        <v>1.4374029999598801</v>
      </c>
      <c r="D159" t="str">
        <f t="shared" si="2"/>
        <v>pre</v>
      </c>
    </row>
    <row r="160" spans="1:4" x14ac:dyDescent="0.35">
      <c r="A160">
        <v>4</v>
      </c>
      <c r="B160">
        <v>0</v>
      </c>
      <c r="C160">
        <v>1.4050378999672799</v>
      </c>
      <c r="D160" t="str">
        <f t="shared" si="2"/>
        <v>pre</v>
      </c>
    </row>
    <row r="161" spans="1:4" x14ac:dyDescent="0.35">
      <c r="A161">
        <v>26</v>
      </c>
      <c r="B161">
        <v>0</v>
      </c>
      <c r="C161">
        <v>1.77247259998694</v>
      </c>
      <c r="D161" t="str">
        <f t="shared" si="2"/>
        <v>pre</v>
      </c>
    </row>
    <row r="162" spans="1:4" x14ac:dyDescent="0.35">
      <c r="A162">
        <v>5</v>
      </c>
      <c r="B162">
        <v>0</v>
      </c>
      <c r="C162">
        <v>1.7472132999682799</v>
      </c>
      <c r="D162" t="str">
        <f t="shared" si="2"/>
        <v>pre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C3E8-CEB0-4DE3-98AB-4499F4A62CE0}">
  <dimension ref="A1:F162"/>
  <sheetViews>
    <sheetView workbookViewId="0">
      <selection activeCell="G3" sqref="G3"/>
    </sheetView>
  </sheetViews>
  <sheetFormatPr defaultRowHeight="14.5" x14ac:dyDescent="0.35"/>
  <cols>
    <col min="4" max="4" width="10.36328125" customWidth="1"/>
    <col min="5" max="5" width="14.08984375" customWidth="1"/>
    <col min="6" max="6" width="11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3" spans="1:6" x14ac:dyDescent="0.35">
      <c r="A3">
        <v>35</v>
      </c>
      <c r="B3">
        <v>0</v>
      </c>
      <c r="C3">
        <v>2.14011239999672</v>
      </c>
      <c r="D3" t="str">
        <f>IF(A3&lt;80,"pre","post")</f>
        <v>pre</v>
      </c>
      <c r="E3" t="s">
        <v>4</v>
      </c>
      <c r="F3">
        <f>AVERAGEIF(D:D,"pre",C:C)</f>
        <v>1.7648542291153926</v>
      </c>
    </row>
    <row r="4" spans="1:6" x14ac:dyDescent="0.35">
      <c r="A4">
        <v>27</v>
      </c>
      <c r="B4">
        <v>1</v>
      </c>
      <c r="C4">
        <v>1.8848219999927001</v>
      </c>
      <c r="D4" t="str">
        <f t="shared" ref="D4:D67" si="0">IF(A4&lt;80,"pre","post")</f>
        <v>pre</v>
      </c>
      <c r="E4" t="s">
        <v>5</v>
      </c>
      <c r="F4">
        <f>AVERAGEIF(D:D,"post",C:C)</f>
        <v>2.0057480999967052</v>
      </c>
    </row>
    <row r="5" spans="1:6" x14ac:dyDescent="0.35">
      <c r="A5">
        <v>10</v>
      </c>
      <c r="B5">
        <v>0</v>
      </c>
      <c r="C5">
        <v>1.52229950000764</v>
      </c>
      <c r="D5" t="str">
        <f t="shared" si="0"/>
        <v>pre</v>
      </c>
    </row>
    <row r="6" spans="1:6" x14ac:dyDescent="0.35">
      <c r="A6">
        <v>21</v>
      </c>
      <c r="B6">
        <v>0</v>
      </c>
      <c r="C6">
        <v>19.574745399993802</v>
      </c>
      <c r="D6" t="str">
        <f t="shared" si="0"/>
        <v>pre</v>
      </c>
      <c r="E6" t="s">
        <v>6</v>
      </c>
      <c r="F6">
        <f>1-AVERAGEIF(D:D,"pre",B:B)</f>
        <v>0.77848101265822789</v>
      </c>
    </row>
    <row r="7" spans="1:6" x14ac:dyDescent="0.35">
      <c r="A7">
        <v>73</v>
      </c>
      <c r="B7">
        <v>0</v>
      </c>
      <c r="C7">
        <v>1.4720958999823699</v>
      </c>
      <c r="D7" t="str">
        <f t="shared" si="0"/>
        <v>pre</v>
      </c>
      <c r="E7" t="s">
        <v>7</v>
      </c>
      <c r="F7">
        <f>1-AVERAGEIF(D:D,"post",B:B)</f>
        <v>1</v>
      </c>
    </row>
    <row r="8" spans="1:6" x14ac:dyDescent="0.35">
      <c r="A8">
        <v>69</v>
      </c>
      <c r="B8">
        <v>0</v>
      </c>
      <c r="C8">
        <v>1.4468468000413801</v>
      </c>
      <c r="D8" t="str">
        <f t="shared" si="0"/>
        <v>pre</v>
      </c>
    </row>
    <row r="9" spans="1:6" x14ac:dyDescent="0.35">
      <c r="A9">
        <v>12</v>
      </c>
      <c r="B9">
        <v>1</v>
      </c>
      <c r="C9">
        <v>1.4589023999869799</v>
      </c>
      <c r="D9" t="str">
        <f t="shared" si="0"/>
        <v>pre</v>
      </c>
    </row>
    <row r="10" spans="1:6" x14ac:dyDescent="0.35">
      <c r="A10">
        <v>9</v>
      </c>
      <c r="B10">
        <v>1</v>
      </c>
      <c r="C10">
        <v>1.3211879000300499</v>
      </c>
      <c r="D10" t="str">
        <f t="shared" si="0"/>
        <v>pre</v>
      </c>
    </row>
    <row r="11" spans="1:6" x14ac:dyDescent="0.35">
      <c r="A11">
        <v>48</v>
      </c>
      <c r="B11">
        <v>0</v>
      </c>
      <c r="C11">
        <v>1.4221285000094199</v>
      </c>
      <c r="D11" t="str">
        <f t="shared" si="0"/>
        <v>pre</v>
      </c>
    </row>
    <row r="12" spans="1:6" x14ac:dyDescent="0.35">
      <c r="A12">
        <v>65</v>
      </c>
      <c r="B12">
        <v>0</v>
      </c>
      <c r="C12">
        <v>1.5500207999721101</v>
      </c>
      <c r="D12" t="str">
        <f t="shared" si="0"/>
        <v>pre</v>
      </c>
    </row>
    <row r="13" spans="1:6" x14ac:dyDescent="0.35">
      <c r="A13">
        <v>45</v>
      </c>
      <c r="B13">
        <v>1</v>
      </c>
      <c r="C13">
        <v>1.34095559996785</v>
      </c>
      <c r="D13" t="str">
        <f t="shared" si="0"/>
        <v>pre</v>
      </c>
    </row>
    <row r="14" spans="1:6" x14ac:dyDescent="0.35">
      <c r="A14">
        <v>50</v>
      </c>
      <c r="B14">
        <v>1</v>
      </c>
      <c r="C14">
        <v>1.4164739999687299</v>
      </c>
      <c r="D14" t="str">
        <f t="shared" si="0"/>
        <v>pre</v>
      </c>
    </row>
    <row r="15" spans="1:6" x14ac:dyDescent="0.35">
      <c r="A15">
        <v>23</v>
      </c>
      <c r="B15">
        <v>0</v>
      </c>
      <c r="C15">
        <v>1.8190063000074499</v>
      </c>
      <c r="D15" t="str">
        <f t="shared" si="0"/>
        <v>pre</v>
      </c>
    </row>
    <row r="16" spans="1:6" x14ac:dyDescent="0.35">
      <c r="A16">
        <v>11</v>
      </c>
      <c r="B16">
        <v>0</v>
      </c>
      <c r="C16">
        <v>1.43333160004112</v>
      </c>
      <c r="D16" t="str">
        <f t="shared" si="0"/>
        <v>pre</v>
      </c>
    </row>
    <row r="17" spans="1:4" x14ac:dyDescent="0.35">
      <c r="A17">
        <v>41</v>
      </c>
      <c r="B17">
        <v>0</v>
      </c>
      <c r="C17">
        <v>1.4241883000358899</v>
      </c>
      <c r="D17" t="str">
        <f t="shared" si="0"/>
        <v>pre</v>
      </c>
    </row>
    <row r="18" spans="1:4" x14ac:dyDescent="0.35">
      <c r="A18">
        <v>75</v>
      </c>
      <c r="B18">
        <v>0</v>
      </c>
      <c r="C18">
        <v>1.44314480002503</v>
      </c>
      <c r="D18" t="str">
        <f t="shared" si="0"/>
        <v>pre</v>
      </c>
    </row>
    <row r="19" spans="1:4" x14ac:dyDescent="0.35">
      <c r="A19">
        <v>8</v>
      </c>
      <c r="B19">
        <v>0</v>
      </c>
      <c r="C19">
        <v>1.44324600003892</v>
      </c>
      <c r="D19" t="str">
        <f t="shared" si="0"/>
        <v>pre</v>
      </c>
    </row>
    <row r="20" spans="1:4" x14ac:dyDescent="0.35">
      <c r="A20">
        <v>17</v>
      </c>
      <c r="B20">
        <v>0</v>
      </c>
      <c r="C20">
        <v>1.35970420000376</v>
      </c>
      <c r="D20" t="str">
        <f t="shared" si="0"/>
        <v>pre</v>
      </c>
    </row>
    <row r="21" spans="1:4" x14ac:dyDescent="0.35">
      <c r="A21">
        <v>66</v>
      </c>
      <c r="B21">
        <v>0</v>
      </c>
      <c r="C21">
        <v>1.56397189997369</v>
      </c>
      <c r="D21" t="str">
        <f t="shared" si="0"/>
        <v>pre</v>
      </c>
    </row>
    <row r="22" spans="1:4" x14ac:dyDescent="0.35">
      <c r="A22">
        <v>78</v>
      </c>
      <c r="B22">
        <v>0</v>
      </c>
      <c r="C22">
        <v>1.55572100001154</v>
      </c>
      <c r="D22" t="str">
        <f t="shared" si="0"/>
        <v>pre</v>
      </c>
    </row>
    <row r="23" spans="1:4" x14ac:dyDescent="0.35">
      <c r="A23">
        <v>28</v>
      </c>
      <c r="B23">
        <v>0</v>
      </c>
      <c r="C23">
        <v>1.50661029998445</v>
      </c>
      <c r="D23" t="str">
        <f t="shared" si="0"/>
        <v>pre</v>
      </c>
    </row>
    <row r="24" spans="1:4" x14ac:dyDescent="0.35">
      <c r="A24">
        <v>18</v>
      </c>
      <c r="B24">
        <v>0</v>
      </c>
      <c r="C24">
        <v>1.6987364999949901</v>
      </c>
      <c r="D24" t="str">
        <f t="shared" si="0"/>
        <v>pre</v>
      </c>
    </row>
    <row r="25" spans="1:4" x14ac:dyDescent="0.35">
      <c r="A25">
        <v>53</v>
      </c>
      <c r="B25">
        <v>0</v>
      </c>
      <c r="C25">
        <v>1.4703737000236199</v>
      </c>
      <c r="D25" t="str">
        <f t="shared" si="0"/>
        <v>pre</v>
      </c>
    </row>
    <row r="26" spans="1:4" x14ac:dyDescent="0.35">
      <c r="A26">
        <v>24</v>
      </c>
      <c r="B26">
        <v>0</v>
      </c>
      <c r="C26">
        <v>1.53444509999826</v>
      </c>
      <c r="D26" t="str">
        <f t="shared" si="0"/>
        <v>pre</v>
      </c>
    </row>
    <row r="27" spans="1:4" x14ac:dyDescent="0.35">
      <c r="A27">
        <v>7</v>
      </c>
      <c r="B27">
        <v>0</v>
      </c>
      <c r="C27">
        <v>1.4258544000331299</v>
      </c>
      <c r="D27" t="str">
        <f t="shared" si="0"/>
        <v>pre</v>
      </c>
    </row>
    <row r="28" spans="1:4" x14ac:dyDescent="0.35">
      <c r="A28">
        <v>55</v>
      </c>
      <c r="B28">
        <v>0</v>
      </c>
      <c r="C28">
        <v>1.6832962000044001</v>
      </c>
      <c r="D28" t="str">
        <f t="shared" si="0"/>
        <v>pre</v>
      </c>
    </row>
    <row r="29" spans="1:4" x14ac:dyDescent="0.35">
      <c r="A29">
        <v>58</v>
      </c>
      <c r="B29">
        <v>0</v>
      </c>
      <c r="C29">
        <v>1.5621810000156899</v>
      </c>
      <c r="D29" t="str">
        <f t="shared" si="0"/>
        <v>pre</v>
      </c>
    </row>
    <row r="30" spans="1:4" x14ac:dyDescent="0.35">
      <c r="A30">
        <v>60</v>
      </c>
      <c r="B30">
        <v>0</v>
      </c>
      <c r="C30">
        <v>1.8163588999886899</v>
      </c>
      <c r="D30" t="str">
        <f t="shared" si="0"/>
        <v>pre</v>
      </c>
    </row>
    <row r="31" spans="1:4" x14ac:dyDescent="0.35">
      <c r="A31">
        <v>1</v>
      </c>
      <c r="B31">
        <v>0</v>
      </c>
      <c r="C31">
        <v>1.4124243999831301</v>
      </c>
      <c r="D31" t="str">
        <f t="shared" si="0"/>
        <v>pre</v>
      </c>
    </row>
    <row r="32" spans="1:4" x14ac:dyDescent="0.35">
      <c r="A32">
        <v>71</v>
      </c>
      <c r="B32">
        <v>0</v>
      </c>
      <c r="C32">
        <v>2.0693408999941298</v>
      </c>
      <c r="D32" t="str">
        <f t="shared" si="0"/>
        <v>pre</v>
      </c>
    </row>
    <row r="33" spans="1:4" x14ac:dyDescent="0.35">
      <c r="A33">
        <v>5</v>
      </c>
      <c r="B33">
        <v>0</v>
      </c>
      <c r="C33">
        <v>1.7061402000254</v>
      </c>
      <c r="D33" t="str">
        <f t="shared" si="0"/>
        <v>pre</v>
      </c>
    </row>
    <row r="34" spans="1:4" x14ac:dyDescent="0.35">
      <c r="A34">
        <v>44</v>
      </c>
      <c r="B34">
        <v>1</v>
      </c>
      <c r="C34">
        <v>1.44743790000211</v>
      </c>
      <c r="D34" t="str">
        <f t="shared" si="0"/>
        <v>pre</v>
      </c>
    </row>
    <row r="35" spans="1:4" x14ac:dyDescent="0.35">
      <c r="A35">
        <v>67</v>
      </c>
      <c r="B35">
        <v>1</v>
      </c>
      <c r="C35">
        <v>1.5576287999865599</v>
      </c>
      <c r="D35" t="str">
        <f t="shared" si="0"/>
        <v>pre</v>
      </c>
    </row>
    <row r="36" spans="1:4" x14ac:dyDescent="0.35">
      <c r="A36">
        <v>57</v>
      </c>
      <c r="B36">
        <v>0</v>
      </c>
      <c r="C36">
        <v>1.62416400003712</v>
      </c>
      <c r="D36" t="str">
        <f t="shared" si="0"/>
        <v>pre</v>
      </c>
    </row>
    <row r="37" spans="1:4" x14ac:dyDescent="0.35">
      <c r="A37">
        <v>39</v>
      </c>
      <c r="B37">
        <v>1</v>
      </c>
      <c r="C37">
        <v>1.36317759996745</v>
      </c>
      <c r="D37" t="str">
        <f t="shared" si="0"/>
        <v>pre</v>
      </c>
    </row>
    <row r="38" spans="1:4" x14ac:dyDescent="0.35">
      <c r="A38">
        <v>33</v>
      </c>
      <c r="B38">
        <v>0</v>
      </c>
      <c r="C38">
        <v>1.3908021999522999</v>
      </c>
      <c r="D38" t="str">
        <f t="shared" si="0"/>
        <v>pre</v>
      </c>
    </row>
    <row r="39" spans="1:4" x14ac:dyDescent="0.35">
      <c r="A39">
        <v>15</v>
      </c>
      <c r="B39">
        <v>0</v>
      </c>
      <c r="C39">
        <v>1.42535470001166</v>
      </c>
      <c r="D39" t="str">
        <f t="shared" si="0"/>
        <v>pre</v>
      </c>
    </row>
    <row r="40" spans="1:4" x14ac:dyDescent="0.35">
      <c r="A40">
        <v>43</v>
      </c>
      <c r="B40">
        <v>0</v>
      </c>
      <c r="C40">
        <v>1.6189067999948701</v>
      </c>
      <c r="D40" t="str">
        <f t="shared" si="0"/>
        <v>pre</v>
      </c>
    </row>
    <row r="41" spans="1:4" x14ac:dyDescent="0.35">
      <c r="A41">
        <v>26</v>
      </c>
      <c r="B41">
        <v>0</v>
      </c>
      <c r="C41">
        <v>1.773920800013</v>
      </c>
      <c r="D41" t="str">
        <f t="shared" si="0"/>
        <v>pre</v>
      </c>
    </row>
    <row r="42" spans="1:4" x14ac:dyDescent="0.35">
      <c r="A42">
        <v>61</v>
      </c>
      <c r="B42">
        <v>0</v>
      </c>
      <c r="C42">
        <v>2.1714486000128002</v>
      </c>
      <c r="D42" t="str">
        <f t="shared" si="0"/>
        <v>pre</v>
      </c>
    </row>
    <row r="43" spans="1:4" x14ac:dyDescent="0.35">
      <c r="A43">
        <v>22</v>
      </c>
      <c r="B43">
        <v>0</v>
      </c>
      <c r="C43">
        <v>1.3315067999646999</v>
      </c>
      <c r="D43" t="str">
        <f t="shared" si="0"/>
        <v>pre</v>
      </c>
    </row>
    <row r="44" spans="1:4" x14ac:dyDescent="0.35">
      <c r="A44">
        <v>40</v>
      </c>
      <c r="B44">
        <v>0</v>
      </c>
      <c r="C44">
        <v>1.7325587000232101</v>
      </c>
      <c r="D44" t="str">
        <f t="shared" si="0"/>
        <v>pre</v>
      </c>
    </row>
    <row r="45" spans="1:4" x14ac:dyDescent="0.35">
      <c r="A45">
        <v>49</v>
      </c>
      <c r="B45">
        <v>0</v>
      </c>
      <c r="C45">
        <v>1.46584899997105</v>
      </c>
      <c r="D45" t="str">
        <f t="shared" si="0"/>
        <v>pre</v>
      </c>
    </row>
    <row r="46" spans="1:4" x14ac:dyDescent="0.35">
      <c r="A46">
        <v>64</v>
      </c>
      <c r="B46">
        <v>0</v>
      </c>
      <c r="C46">
        <v>1.5720669999718599</v>
      </c>
      <c r="D46" t="str">
        <f t="shared" si="0"/>
        <v>pre</v>
      </c>
    </row>
    <row r="47" spans="1:4" x14ac:dyDescent="0.35">
      <c r="A47">
        <v>54</v>
      </c>
      <c r="B47">
        <v>0</v>
      </c>
      <c r="C47">
        <v>1.5773231000057399</v>
      </c>
      <c r="D47" t="str">
        <f t="shared" si="0"/>
        <v>pre</v>
      </c>
    </row>
    <row r="48" spans="1:4" x14ac:dyDescent="0.35">
      <c r="A48">
        <v>19</v>
      </c>
      <c r="B48">
        <v>0</v>
      </c>
      <c r="C48">
        <v>1.5693546999827901</v>
      </c>
      <c r="D48" t="str">
        <f t="shared" si="0"/>
        <v>pre</v>
      </c>
    </row>
    <row r="49" spans="1:4" x14ac:dyDescent="0.35">
      <c r="A49">
        <v>34</v>
      </c>
      <c r="B49">
        <v>0</v>
      </c>
      <c r="C49">
        <v>1.4839915999909801</v>
      </c>
      <c r="D49" t="str">
        <f t="shared" si="0"/>
        <v>pre</v>
      </c>
    </row>
    <row r="50" spans="1:4" x14ac:dyDescent="0.35">
      <c r="A50">
        <v>52</v>
      </c>
      <c r="B50">
        <v>0</v>
      </c>
      <c r="C50">
        <v>1.3630263999802901</v>
      </c>
      <c r="D50" t="str">
        <f t="shared" si="0"/>
        <v>pre</v>
      </c>
    </row>
    <row r="51" spans="1:4" x14ac:dyDescent="0.35">
      <c r="A51">
        <v>29</v>
      </c>
      <c r="B51">
        <v>0</v>
      </c>
      <c r="C51">
        <v>1.5993548999540499</v>
      </c>
      <c r="D51" t="str">
        <f t="shared" si="0"/>
        <v>pre</v>
      </c>
    </row>
    <row r="52" spans="1:4" x14ac:dyDescent="0.35">
      <c r="A52">
        <v>70</v>
      </c>
      <c r="B52">
        <v>0</v>
      </c>
      <c r="C52">
        <v>2.20039920002454</v>
      </c>
      <c r="D52" t="str">
        <f t="shared" si="0"/>
        <v>pre</v>
      </c>
    </row>
    <row r="53" spans="1:4" x14ac:dyDescent="0.35">
      <c r="A53">
        <v>59</v>
      </c>
      <c r="B53">
        <v>0</v>
      </c>
      <c r="C53">
        <v>1.3979364000260801</v>
      </c>
      <c r="D53" t="str">
        <f t="shared" si="0"/>
        <v>pre</v>
      </c>
    </row>
    <row r="54" spans="1:4" x14ac:dyDescent="0.35">
      <c r="A54">
        <v>46</v>
      </c>
      <c r="B54">
        <v>0</v>
      </c>
      <c r="C54">
        <v>1.7344759999541499</v>
      </c>
      <c r="D54" t="str">
        <f t="shared" si="0"/>
        <v>pre</v>
      </c>
    </row>
    <row r="55" spans="1:4" x14ac:dyDescent="0.35">
      <c r="A55">
        <v>36</v>
      </c>
      <c r="B55">
        <v>0</v>
      </c>
      <c r="C55">
        <v>1.7472945000044999</v>
      </c>
      <c r="D55" t="str">
        <f t="shared" si="0"/>
        <v>pre</v>
      </c>
    </row>
    <row r="56" spans="1:4" x14ac:dyDescent="0.35">
      <c r="A56">
        <v>51</v>
      </c>
      <c r="B56">
        <v>0</v>
      </c>
      <c r="C56">
        <v>1.6008481000317201</v>
      </c>
      <c r="D56" t="str">
        <f t="shared" si="0"/>
        <v>pre</v>
      </c>
    </row>
    <row r="57" spans="1:4" x14ac:dyDescent="0.35">
      <c r="A57">
        <v>2</v>
      </c>
      <c r="B57">
        <v>1</v>
      </c>
      <c r="C57">
        <v>3.09142589999828</v>
      </c>
      <c r="D57" t="str">
        <f t="shared" si="0"/>
        <v>pre</v>
      </c>
    </row>
    <row r="58" spans="1:4" x14ac:dyDescent="0.35">
      <c r="A58">
        <v>20</v>
      </c>
      <c r="B58">
        <v>1</v>
      </c>
      <c r="C58">
        <v>2.10981379996519</v>
      </c>
      <c r="D58" t="str">
        <f t="shared" si="0"/>
        <v>pre</v>
      </c>
    </row>
    <row r="59" spans="1:4" x14ac:dyDescent="0.35">
      <c r="A59">
        <v>79</v>
      </c>
      <c r="B59">
        <v>0</v>
      </c>
      <c r="C59">
        <v>1.5373262999928501</v>
      </c>
      <c r="D59" t="str">
        <f t="shared" si="0"/>
        <v>pre</v>
      </c>
    </row>
    <row r="60" spans="1:4" x14ac:dyDescent="0.35">
      <c r="A60">
        <v>47</v>
      </c>
      <c r="B60">
        <v>0</v>
      </c>
      <c r="C60">
        <v>2.9843954000389199</v>
      </c>
      <c r="D60" t="str">
        <f t="shared" si="0"/>
        <v>pre</v>
      </c>
    </row>
    <row r="61" spans="1:4" x14ac:dyDescent="0.35">
      <c r="A61">
        <v>77</v>
      </c>
      <c r="B61">
        <v>1</v>
      </c>
      <c r="C61">
        <v>1.8296445999876501</v>
      </c>
      <c r="D61" t="str">
        <f t="shared" si="0"/>
        <v>pre</v>
      </c>
    </row>
    <row r="62" spans="1:4" x14ac:dyDescent="0.35">
      <c r="A62">
        <v>13</v>
      </c>
      <c r="B62">
        <v>1</v>
      </c>
      <c r="C62">
        <v>1.36665470001753</v>
      </c>
      <c r="D62" t="str">
        <f t="shared" si="0"/>
        <v>pre</v>
      </c>
    </row>
    <row r="63" spans="1:4" x14ac:dyDescent="0.35">
      <c r="A63">
        <v>14</v>
      </c>
      <c r="B63">
        <v>0</v>
      </c>
      <c r="C63">
        <v>1.36628449999261</v>
      </c>
      <c r="D63" t="str">
        <f t="shared" si="0"/>
        <v>pre</v>
      </c>
    </row>
    <row r="64" spans="1:4" x14ac:dyDescent="0.35">
      <c r="A64">
        <v>80</v>
      </c>
      <c r="B64">
        <v>0</v>
      </c>
      <c r="C64">
        <v>1.3662536999909201</v>
      </c>
      <c r="D64" t="str">
        <f t="shared" si="0"/>
        <v>post</v>
      </c>
    </row>
    <row r="65" spans="1:4" x14ac:dyDescent="0.35">
      <c r="A65">
        <v>68</v>
      </c>
      <c r="B65">
        <v>0</v>
      </c>
      <c r="C65">
        <v>1.38838580000447</v>
      </c>
      <c r="D65" t="str">
        <f t="shared" si="0"/>
        <v>pre</v>
      </c>
    </row>
    <row r="66" spans="1:4" x14ac:dyDescent="0.35">
      <c r="A66">
        <v>74</v>
      </c>
      <c r="B66">
        <v>0</v>
      </c>
      <c r="C66">
        <v>1.59734399995068</v>
      </c>
      <c r="D66" t="str">
        <f t="shared" si="0"/>
        <v>pre</v>
      </c>
    </row>
    <row r="67" spans="1:4" x14ac:dyDescent="0.35">
      <c r="A67">
        <v>62</v>
      </c>
      <c r="B67">
        <v>0</v>
      </c>
      <c r="C67">
        <v>1.45043040002929</v>
      </c>
      <c r="D67" t="str">
        <f t="shared" si="0"/>
        <v>pre</v>
      </c>
    </row>
    <row r="68" spans="1:4" x14ac:dyDescent="0.35">
      <c r="A68">
        <v>3</v>
      </c>
      <c r="B68">
        <v>0</v>
      </c>
      <c r="C68">
        <v>1.3165055999998001</v>
      </c>
      <c r="D68" t="str">
        <f t="shared" ref="D68:D131" si="1">IF(A68&lt;80,"pre","post")</f>
        <v>pre</v>
      </c>
    </row>
    <row r="69" spans="1:4" x14ac:dyDescent="0.35">
      <c r="A69">
        <v>56</v>
      </c>
      <c r="B69">
        <v>0</v>
      </c>
      <c r="C69">
        <v>1.4913092000060699</v>
      </c>
      <c r="D69" t="str">
        <f t="shared" si="1"/>
        <v>pre</v>
      </c>
    </row>
    <row r="70" spans="1:4" x14ac:dyDescent="0.35">
      <c r="A70">
        <v>72</v>
      </c>
      <c r="B70">
        <v>0</v>
      </c>
      <c r="C70">
        <v>1.6233074999763599</v>
      </c>
      <c r="D70" t="str">
        <f t="shared" si="1"/>
        <v>pre</v>
      </c>
    </row>
    <row r="71" spans="1:4" x14ac:dyDescent="0.35">
      <c r="A71">
        <v>4</v>
      </c>
      <c r="B71">
        <v>0</v>
      </c>
      <c r="C71">
        <v>1.4244717999827099</v>
      </c>
      <c r="D71" t="str">
        <f t="shared" si="1"/>
        <v>pre</v>
      </c>
    </row>
    <row r="72" spans="1:4" x14ac:dyDescent="0.35">
      <c r="A72">
        <v>31</v>
      </c>
      <c r="B72">
        <v>0</v>
      </c>
      <c r="C72">
        <v>1.43689560005441</v>
      </c>
      <c r="D72" t="str">
        <f t="shared" si="1"/>
        <v>pre</v>
      </c>
    </row>
    <row r="73" spans="1:4" x14ac:dyDescent="0.35">
      <c r="A73">
        <v>6</v>
      </c>
      <c r="B73">
        <v>0</v>
      </c>
      <c r="C73">
        <v>1.3868310999823701</v>
      </c>
      <c r="D73" t="str">
        <f t="shared" si="1"/>
        <v>pre</v>
      </c>
    </row>
    <row r="74" spans="1:4" x14ac:dyDescent="0.35">
      <c r="A74">
        <v>25</v>
      </c>
      <c r="B74">
        <v>1</v>
      </c>
      <c r="C74">
        <v>1.6058668000041501</v>
      </c>
      <c r="D74" t="str">
        <f t="shared" si="1"/>
        <v>pre</v>
      </c>
    </row>
    <row r="75" spans="1:4" x14ac:dyDescent="0.35">
      <c r="A75">
        <v>42</v>
      </c>
      <c r="B75">
        <v>1</v>
      </c>
      <c r="C75">
        <v>1.51896690001012</v>
      </c>
      <c r="D75" t="str">
        <f t="shared" si="1"/>
        <v>pre</v>
      </c>
    </row>
    <row r="76" spans="1:4" x14ac:dyDescent="0.35">
      <c r="A76">
        <v>30</v>
      </c>
      <c r="B76">
        <v>1</v>
      </c>
      <c r="C76">
        <v>1.73366719996556</v>
      </c>
      <c r="D76" t="str">
        <f t="shared" si="1"/>
        <v>pre</v>
      </c>
    </row>
    <row r="77" spans="1:4" x14ac:dyDescent="0.35">
      <c r="A77">
        <v>16</v>
      </c>
      <c r="B77">
        <v>1</v>
      </c>
      <c r="C77">
        <v>1.3345776000060099</v>
      </c>
      <c r="D77" t="str">
        <f t="shared" si="1"/>
        <v>pre</v>
      </c>
    </row>
    <row r="78" spans="1:4" x14ac:dyDescent="0.35">
      <c r="A78">
        <v>38</v>
      </c>
      <c r="B78">
        <v>1</v>
      </c>
      <c r="C78">
        <v>1.5017882999964001</v>
      </c>
      <c r="D78" t="str">
        <f t="shared" si="1"/>
        <v>pre</v>
      </c>
    </row>
    <row r="79" spans="1:4" x14ac:dyDescent="0.35">
      <c r="A79">
        <v>63</v>
      </c>
      <c r="B79">
        <v>0</v>
      </c>
      <c r="C79">
        <v>1.46171120001235</v>
      </c>
      <c r="D79" t="str">
        <f t="shared" si="1"/>
        <v>pre</v>
      </c>
    </row>
    <row r="80" spans="1:4" x14ac:dyDescent="0.35">
      <c r="A80">
        <v>76</v>
      </c>
      <c r="B80">
        <v>0</v>
      </c>
      <c r="C80">
        <v>1.5829947000020099</v>
      </c>
      <c r="D80" t="str">
        <f t="shared" si="1"/>
        <v>pre</v>
      </c>
    </row>
    <row r="81" spans="1:4" x14ac:dyDescent="0.35">
      <c r="A81">
        <v>37</v>
      </c>
      <c r="B81">
        <v>0</v>
      </c>
      <c r="C81">
        <v>1.6149443000322199</v>
      </c>
      <c r="D81" t="str">
        <f t="shared" si="1"/>
        <v>pre</v>
      </c>
    </row>
    <row r="82" spans="1:4" x14ac:dyDescent="0.35">
      <c r="A82">
        <v>32</v>
      </c>
      <c r="B82">
        <v>0</v>
      </c>
      <c r="C82">
        <v>1.6983977999771001</v>
      </c>
      <c r="D82" t="str">
        <f t="shared" si="1"/>
        <v>pre</v>
      </c>
    </row>
    <row r="83" spans="1:4" x14ac:dyDescent="0.35">
      <c r="A83">
        <v>15</v>
      </c>
      <c r="B83">
        <v>0</v>
      </c>
      <c r="C83">
        <v>3.1431696999934502</v>
      </c>
      <c r="D83" t="str">
        <f t="shared" si="1"/>
        <v>pre</v>
      </c>
    </row>
    <row r="84" spans="1:4" x14ac:dyDescent="0.35">
      <c r="A84">
        <v>77</v>
      </c>
      <c r="B84">
        <v>1</v>
      </c>
      <c r="C84">
        <v>1.72693459998117</v>
      </c>
      <c r="D84" t="str">
        <f t="shared" si="1"/>
        <v>pre</v>
      </c>
    </row>
    <row r="85" spans="1:4" x14ac:dyDescent="0.35">
      <c r="A85">
        <v>22</v>
      </c>
      <c r="B85">
        <v>0</v>
      </c>
      <c r="C85">
        <v>1.42438829998718</v>
      </c>
      <c r="D85" t="str">
        <f t="shared" si="1"/>
        <v>pre</v>
      </c>
    </row>
    <row r="86" spans="1:4" x14ac:dyDescent="0.35">
      <c r="A86">
        <v>32</v>
      </c>
      <c r="B86">
        <v>0</v>
      </c>
      <c r="C86">
        <v>1.47897510003531</v>
      </c>
      <c r="D86" t="str">
        <f t="shared" si="1"/>
        <v>pre</v>
      </c>
    </row>
    <row r="87" spans="1:4" x14ac:dyDescent="0.35">
      <c r="A87">
        <v>74</v>
      </c>
      <c r="B87">
        <v>0</v>
      </c>
      <c r="C87">
        <v>1.4385544999968201</v>
      </c>
      <c r="D87" t="str">
        <f t="shared" si="1"/>
        <v>pre</v>
      </c>
    </row>
    <row r="88" spans="1:4" x14ac:dyDescent="0.35">
      <c r="A88">
        <v>2</v>
      </c>
      <c r="B88">
        <v>1</v>
      </c>
      <c r="C88">
        <v>1.6391368000186</v>
      </c>
      <c r="D88" t="str">
        <f t="shared" si="1"/>
        <v>pre</v>
      </c>
    </row>
    <row r="89" spans="1:4" x14ac:dyDescent="0.35">
      <c r="A89">
        <v>41</v>
      </c>
      <c r="B89">
        <v>0</v>
      </c>
      <c r="C89">
        <v>1.37859490001574</v>
      </c>
      <c r="D89" t="str">
        <f t="shared" si="1"/>
        <v>pre</v>
      </c>
    </row>
    <row r="90" spans="1:4" x14ac:dyDescent="0.35">
      <c r="A90">
        <v>54</v>
      </c>
      <c r="B90">
        <v>0</v>
      </c>
      <c r="C90">
        <v>2.3690807999810199</v>
      </c>
      <c r="D90" t="str">
        <f t="shared" si="1"/>
        <v>pre</v>
      </c>
    </row>
    <row r="91" spans="1:4" x14ac:dyDescent="0.35">
      <c r="A91">
        <v>60</v>
      </c>
      <c r="B91">
        <v>0</v>
      </c>
      <c r="C91">
        <v>1.6806656999979099</v>
      </c>
      <c r="D91" t="str">
        <f t="shared" si="1"/>
        <v>pre</v>
      </c>
    </row>
    <row r="92" spans="1:4" x14ac:dyDescent="0.35">
      <c r="A92">
        <v>16</v>
      </c>
      <c r="B92">
        <v>1</v>
      </c>
      <c r="C92">
        <v>1.4780756000545801</v>
      </c>
      <c r="D92" t="str">
        <f t="shared" si="1"/>
        <v>pre</v>
      </c>
    </row>
    <row r="93" spans="1:4" x14ac:dyDescent="0.35">
      <c r="A93">
        <v>34</v>
      </c>
      <c r="B93">
        <v>0</v>
      </c>
      <c r="C93">
        <v>1.8303766999742901</v>
      </c>
      <c r="D93" t="str">
        <f t="shared" si="1"/>
        <v>pre</v>
      </c>
    </row>
    <row r="94" spans="1:4" x14ac:dyDescent="0.35">
      <c r="A94">
        <v>17</v>
      </c>
      <c r="B94">
        <v>0</v>
      </c>
      <c r="C94">
        <v>1.5676342999795401</v>
      </c>
      <c r="D94" t="str">
        <f t="shared" si="1"/>
        <v>pre</v>
      </c>
    </row>
    <row r="95" spans="1:4" x14ac:dyDescent="0.35">
      <c r="A95">
        <v>59</v>
      </c>
      <c r="B95">
        <v>0</v>
      </c>
      <c r="C95">
        <v>1.4920075000263699</v>
      </c>
      <c r="D95" t="str">
        <f t="shared" si="1"/>
        <v>pre</v>
      </c>
    </row>
    <row r="96" spans="1:4" x14ac:dyDescent="0.35">
      <c r="A96">
        <v>4</v>
      </c>
      <c r="B96">
        <v>0</v>
      </c>
      <c r="C96">
        <v>2.1173103000037301</v>
      </c>
      <c r="D96" t="str">
        <f t="shared" si="1"/>
        <v>pre</v>
      </c>
    </row>
    <row r="97" spans="1:4" x14ac:dyDescent="0.35">
      <c r="A97">
        <v>19</v>
      </c>
      <c r="B97">
        <v>0</v>
      </c>
      <c r="C97">
        <v>2.1737951000104601</v>
      </c>
      <c r="D97" t="str">
        <f t="shared" si="1"/>
        <v>pre</v>
      </c>
    </row>
    <row r="98" spans="1:4" x14ac:dyDescent="0.35">
      <c r="A98">
        <v>68</v>
      </c>
      <c r="B98">
        <v>0</v>
      </c>
      <c r="C98">
        <v>1.8542447999934599</v>
      </c>
      <c r="D98" t="str">
        <f t="shared" si="1"/>
        <v>pre</v>
      </c>
    </row>
    <row r="99" spans="1:4" x14ac:dyDescent="0.35">
      <c r="A99">
        <v>49</v>
      </c>
      <c r="B99">
        <v>0</v>
      </c>
      <c r="C99">
        <v>1.61349020001944</v>
      </c>
      <c r="D99" t="str">
        <f t="shared" si="1"/>
        <v>pre</v>
      </c>
    </row>
    <row r="100" spans="1:4" x14ac:dyDescent="0.35">
      <c r="A100">
        <v>53</v>
      </c>
      <c r="B100">
        <v>0</v>
      </c>
      <c r="C100">
        <v>1.66993760003242</v>
      </c>
      <c r="D100" t="str">
        <f t="shared" si="1"/>
        <v>pre</v>
      </c>
    </row>
    <row r="101" spans="1:4" x14ac:dyDescent="0.35">
      <c r="A101">
        <v>66</v>
      </c>
      <c r="B101">
        <v>0</v>
      </c>
      <c r="C101">
        <v>1.4474257999681801</v>
      </c>
      <c r="D101" t="str">
        <f t="shared" si="1"/>
        <v>pre</v>
      </c>
    </row>
    <row r="102" spans="1:4" x14ac:dyDescent="0.35">
      <c r="A102">
        <v>72</v>
      </c>
      <c r="B102">
        <v>0</v>
      </c>
      <c r="C102">
        <v>1.68910130002768</v>
      </c>
      <c r="D102" t="str">
        <f t="shared" si="1"/>
        <v>pre</v>
      </c>
    </row>
    <row r="103" spans="1:4" x14ac:dyDescent="0.35">
      <c r="A103">
        <v>10</v>
      </c>
      <c r="B103">
        <v>0</v>
      </c>
      <c r="C103">
        <v>1.52265290002105</v>
      </c>
      <c r="D103" t="str">
        <f t="shared" si="1"/>
        <v>pre</v>
      </c>
    </row>
    <row r="104" spans="1:4" x14ac:dyDescent="0.35">
      <c r="A104">
        <v>12</v>
      </c>
      <c r="B104">
        <v>1</v>
      </c>
      <c r="C104">
        <v>1.4884852999821301</v>
      </c>
      <c r="D104" t="str">
        <f t="shared" si="1"/>
        <v>pre</v>
      </c>
    </row>
    <row r="105" spans="1:4" x14ac:dyDescent="0.35">
      <c r="A105">
        <v>20</v>
      </c>
      <c r="B105">
        <v>1</v>
      </c>
      <c r="C105">
        <v>1.6006203999859201</v>
      </c>
      <c r="D105" t="str">
        <f t="shared" si="1"/>
        <v>pre</v>
      </c>
    </row>
    <row r="106" spans="1:4" x14ac:dyDescent="0.35">
      <c r="A106">
        <v>1</v>
      </c>
      <c r="B106">
        <v>0</v>
      </c>
      <c r="C106">
        <v>1.4407501000095999</v>
      </c>
      <c r="D106" t="str">
        <f t="shared" si="1"/>
        <v>pre</v>
      </c>
    </row>
    <row r="107" spans="1:4" x14ac:dyDescent="0.35">
      <c r="A107">
        <v>44</v>
      </c>
      <c r="B107">
        <v>1</v>
      </c>
      <c r="C107">
        <v>1.4833144999574801</v>
      </c>
      <c r="D107" t="str">
        <f t="shared" si="1"/>
        <v>pre</v>
      </c>
    </row>
    <row r="108" spans="1:4" x14ac:dyDescent="0.35">
      <c r="A108">
        <v>35</v>
      </c>
      <c r="B108">
        <v>0</v>
      </c>
      <c r="C108">
        <v>1.8161517000407901</v>
      </c>
      <c r="D108" t="str">
        <f t="shared" si="1"/>
        <v>pre</v>
      </c>
    </row>
    <row r="109" spans="1:4" x14ac:dyDescent="0.35">
      <c r="A109">
        <v>11</v>
      </c>
      <c r="B109">
        <v>0</v>
      </c>
      <c r="C109">
        <v>1.8651780000072899</v>
      </c>
      <c r="D109" t="str">
        <f t="shared" si="1"/>
        <v>pre</v>
      </c>
    </row>
    <row r="110" spans="1:4" x14ac:dyDescent="0.35">
      <c r="A110">
        <v>57</v>
      </c>
      <c r="B110">
        <v>0</v>
      </c>
      <c r="C110">
        <v>2.1501058000139799</v>
      </c>
      <c r="D110" t="str">
        <f t="shared" si="1"/>
        <v>pre</v>
      </c>
    </row>
    <row r="111" spans="1:4" x14ac:dyDescent="0.35">
      <c r="A111">
        <v>63</v>
      </c>
      <c r="B111">
        <v>0</v>
      </c>
      <c r="C111">
        <v>1.7018519000266601</v>
      </c>
      <c r="D111" t="str">
        <f t="shared" si="1"/>
        <v>pre</v>
      </c>
    </row>
    <row r="112" spans="1:4" x14ac:dyDescent="0.35">
      <c r="A112">
        <v>36</v>
      </c>
      <c r="B112">
        <v>0</v>
      </c>
      <c r="C112">
        <v>1.71989869995741</v>
      </c>
      <c r="D112" t="str">
        <f t="shared" si="1"/>
        <v>pre</v>
      </c>
    </row>
    <row r="113" spans="1:4" x14ac:dyDescent="0.35">
      <c r="A113">
        <v>79</v>
      </c>
      <c r="B113">
        <v>0</v>
      </c>
      <c r="C113">
        <v>1.5548052000231101</v>
      </c>
      <c r="D113" t="str">
        <f t="shared" si="1"/>
        <v>pre</v>
      </c>
    </row>
    <row r="114" spans="1:4" x14ac:dyDescent="0.35">
      <c r="A114">
        <v>55</v>
      </c>
      <c r="B114">
        <v>0</v>
      </c>
      <c r="C114">
        <v>1.69815499999094</v>
      </c>
      <c r="D114" t="str">
        <f t="shared" si="1"/>
        <v>pre</v>
      </c>
    </row>
    <row r="115" spans="1:4" x14ac:dyDescent="0.35">
      <c r="A115">
        <v>56</v>
      </c>
      <c r="B115">
        <v>0</v>
      </c>
      <c r="C115">
        <v>1.5522017999901401</v>
      </c>
      <c r="D115" t="str">
        <f t="shared" si="1"/>
        <v>pre</v>
      </c>
    </row>
    <row r="116" spans="1:4" x14ac:dyDescent="0.35">
      <c r="A116">
        <v>27</v>
      </c>
      <c r="B116">
        <v>1</v>
      </c>
      <c r="C116">
        <v>1.4998756999848399</v>
      </c>
      <c r="D116" t="str">
        <f t="shared" si="1"/>
        <v>pre</v>
      </c>
    </row>
    <row r="117" spans="1:4" x14ac:dyDescent="0.35">
      <c r="A117">
        <v>64</v>
      </c>
      <c r="B117">
        <v>0</v>
      </c>
      <c r="C117">
        <v>1.6167277999920699</v>
      </c>
      <c r="D117" t="str">
        <f t="shared" si="1"/>
        <v>pre</v>
      </c>
    </row>
    <row r="118" spans="1:4" x14ac:dyDescent="0.35">
      <c r="A118">
        <v>75</v>
      </c>
      <c r="B118">
        <v>0</v>
      </c>
      <c r="C118">
        <v>1.6746468999772299</v>
      </c>
      <c r="D118" t="str">
        <f t="shared" si="1"/>
        <v>pre</v>
      </c>
    </row>
    <row r="119" spans="1:4" x14ac:dyDescent="0.35">
      <c r="A119">
        <v>42</v>
      </c>
      <c r="B119">
        <v>1</v>
      </c>
      <c r="C119">
        <v>1.6113025000086001</v>
      </c>
      <c r="D119" t="str">
        <f t="shared" si="1"/>
        <v>pre</v>
      </c>
    </row>
    <row r="120" spans="1:4" x14ac:dyDescent="0.35">
      <c r="A120">
        <v>65</v>
      </c>
      <c r="B120">
        <v>0</v>
      </c>
      <c r="C120">
        <v>1.59073470003204</v>
      </c>
      <c r="D120" t="str">
        <f t="shared" si="1"/>
        <v>pre</v>
      </c>
    </row>
    <row r="121" spans="1:4" x14ac:dyDescent="0.35">
      <c r="A121">
        <v>73</v>
      </c>
      <c r="B121">
        <v>0</v>
      </c>
      <c r="C121">
        <v>1.4257583999424199</v>
      </c>
      <c r="D121" t="str">
        <f t="shared" si="1"/>
        <v>pre</v>
      </c>
    </row>
    <row r="122" spans="1:4" x14ac:dyDescent="0.35">
      <c r="A122">
        <v>26</v>
      </c>
      <c r="B122">
        <v>0</v>
      </c>
      <c r="C122">
        <v>1.4129292000434299</v>
      </c>
      <c r="D122" t="str">
        <f t="shared" si="1"/>
        <v>pre</v>
      </c>
    </row>
    <row r="123" spans="1:4" x14ac:dyDescent="0.35">
      <c r="A123">
        <v>46</v>
      </c>
      <c r="B123">
        <v>0</v>
      </c>
      <c r="C123">
        <v>1.3694915000232799</v>
      </c>
      <c r="D123" t="str">
        <f t="shared" si="1"/>
        <v>pre</v>
      </c>
    </row>
    <row r="124" spans="1:4" x14ac:dyDescent="0.35">
      <c r="A124">
        <v>24</v>
      </c>
      <c r="B124">
        <v>1</v>
      </c>
      <c r="C124">
        <v>1.4365233000135</v>
      </c>
      <c r="D124" t="str">
        <f t="shared" si="1"/>
        <v>pre</v>
      </c>
    </row>
    <row r="125" spans="1:4" x14ac:dyDescent="0.35">
      <c r="A125">
        <v>62</v>
      </c>
      <c r="B125">
        <v>0</v>
      </c>
      <c r="C125">
        <v>1.89168230001814</v>
      </c>
      <c r="D125" t="str">
        <f t="shared" si="1"/>
        <v>pre</v>
      </c>
    </row>
    <row r="126" spans="1:4" x14ac:dyDescent="0.35">
      <c r="A126">
        <v>14</v>
      </c>
      <c r="B126">
        <v>0</v>
      </c>
      <c r="C126">
        <v>1.4779030000208799</v>
      </c>
      <c r="D126" t="str">
        <f t="shared" si="1"/>
        <v>pre</v>
      </c>
    </row>
    <row r="127" spans="1:4" x14ac:dyDescent="0.35">
      <c r="A127">
        <v>45</v>
      </c>
      <c r="B127">
        <v>1</v>
      </c>
      <c r="C127">
        <v>1.52658649999648</v>
      </c>
      <c r="D127" t="str">
        <f t="shared" si="1"/>
        <v>pre</v>
      </c>
    </row>
    <row r="128" spans="1:4" x14ac:dyDescent="0.35">
      <c r="A128">
        <v>6</v>
      </c>
      <c r="B128">
        <v>0</v>
      </c>
      <c r="C128">
        <v>1.4252803000272201</v>
      </c>
      <c r="D128" t="str">
        <f t="shared" si="1"/>
        <v>pre</v>
      </c>
    </row>
    <row r="129" spans="1:4" x14ac:dyDescent="0.35">
      <c r="A129">
        <v>21</v>
      </c>
      <c r="B129">
        <v>0</v>
      </c>
      <c r="C129">
        <v>1.69886010000482</v>
      </c>
      <c r="D129" t="str">
        <f t="shared" si="1"/>
        <v>pre</v>
      </c>
    </row>
    <row r="130" spans="1:4" x14ac:dyDescent="0.35">
      <c r="A130">
        <v>3</v>
      </c>
      <c r="B130">
        <v>0</v>
      </c>
      <c r="C130">
        <v>1.53912700002547</v>
      </c>
      <c r="D130" t="str">
        <f t="shared" si="1"/>
        <v>pre</v>
      </c>
    </row>
    <row r="131" spans="1:4" x14ac:dyDescent="0.35">
      <c r="A131">
        <v>61</v>
      </c>
      <c r="B131">
        <v>0</v>
      </c>
      <c r="C131">
        <v>1.4449180000228801</v>
      </c>
      <c r="D131" t="str">
        <f t="shared" si="1"/>
        <v>pre</v>
      </c>
    </row>
    <row r="132" spans="1:4" x14ac:dyDescent="0.35">
      <c r="A132">
        <v>23</v>
      </c>
      <c r="B132">
        <v>0</v>
      </c>
      <c r="C132">
        <v>1.4876607999903999</v>
      </c>
      <c r="D132" t="str">
        <f t="shared" ref="D132:D162" si="2">IF(A132&lt;80,"pre","post")</f>
        <v>pre</v>
      </c>
    </row>
    <row r="133" spans="1:4" x14ac:dyDescent="0.35">
      <c r="A133">
        <v>9</v>
      </c>
      <c r="B133">
        <v>1</v>
      </c>
      <c r="C133">
        <v>1.4452968999976199</v>
      </c>
      <c r="D133" t="str">
        <f t="shared" si="2"/>
        <v>pre</v>
      </c>
    </row>
    <row r="134" spans="1:4" x14ac:dyDescent="0.35">
      <c r="A134">
        <v>50</v>
      </c>
      <c r="B134">
        <v>1</v>
      </c>
      <c r="C134">
        <v>1.71663410001201</v>
      </c>
      <c r="D134" t="str">
        <f t="shared" si="2"/>
        <v>pre</v>
      </c>
    </row>
    <row r="135" spans="1:4" x14ac:dyDescent="0.35">
      <c r="A135">
        <v>28</v>
      </c>
      <c r="B135">
        <v>0</v>
      </c>
      <c r="C135">
        <v>1.66728639998473</v>
      </c>
      <c r="D135" t="str">
        <f t="shared" si="2"/>
        <v>pre</v>
      </c>
    </row>
    <row r="136" spans="1:4" x14ac:dyDescent="0.35">
      <c r="A136">
        <v>80</v>
      </c>
      <c r="B136">
        <v>0</v>
      </c>
      <c r="C136">
        <v>2.6452425000024902</v>
      </c>
      <c r="D136" t="str">
        <f t="shared" si="2"/>
        <v>post</v>
      </c>
    </row>
    <row r="137" spans="1:4" x14ac:dyDescent="0.35">
      <c r="A137">
        <v>52</v>
      </c>
      <c r="B137">
        <v>0</v>
      </c>
      <c r="C137">
        <v>1.94516880001174</v>
      </c>
      <c r="D137" t="str">
        <f t="shared" si="2"/>
        <v>pre</v>
      </c>
    </row>
    <row r="138" spans="1:4" x14ac:dyDescent="0.35">
      <c r="A138">
        <v>48</v>
      </c>
      <c r="B138">
        <v>0</v>
      </c>
      <c r="C138">
        <v>2.36815880000358</v>
      </c>
      <c r="D138" t="str">
        <f t="shared" si="2"/>
        <v>pre</v>
      </c>
    </row>
    <row r="139" spans="1:4" x14ac:dyDescent="0.35">
      <c r="A139">
        <v>30</v>
      </c>
      <c r="B139">
        <v>1</v>
      </c>
      <c r="C139">
        <v>1.5574344000197</v>
      </c>
      <c r="D139" t="str">
        <f t="shared" si="2"/>
        <v>pre</v>
      </c>
    </row>
    <row r="140" spans="1:4" x14ac:dyDescent="0.35">
      <c r="A140">
        <v>37</v>
      </c>
      <c r="B140">
        <v>0</v>
      </c>
      <c r="C140">
        <v>1.4164633000036699</v>
      </c>
      <c r="D140" t="str">
        <f t="shared" si="2"/>
        <v>pre</v>
      </c>
    </row>
    <row r="141" spans="1:4" x14ac:dyDescent="0.35">
      <c r="A141">
        <v>43</v>
      </c>
      <c r="B141">
        <v>0</v>
      </c>
      <c r="C141">
        <v>1.50199950003298</v>
      </c>
      <c r="D141" t="str">
        <f t="shared" si="2"/>
        <v>pre</v>
      </c>
    </row>
    <row r="142" spans="1:4" x14ac:dyDescent="0.35">
      <c r="A142">
        <v>5</v>
      </c>
      <c r="B142">
        <v>0</v>
      </c>
      <c r="C142">
        <v>1.8354899999685499</v>
      </c>
      <c r="D142" t="str">
        <f t="shared" si="2"/>
        <v>pre</v>
      </c>
    </row>
    <row r="143" spans="1:4" x14ac:dyDescent="0.35">
      <c r="A143">
        <v>38</v>
      </c>
      <c r="B143">
        <v>1</v>
      </c>
      <c r="C143">
        <v>1.78651950001949</v>
      </c>
      <c r="D143" t="str">
        <f t="shared" si="2"/>
        <v>pre</v>
      </c>
    </row>
    <row r="144" spans="1:4" x14ac:dyDescent="0.35">
      <c r="A144">
        <v>39</v>
      </c>
      <c r="B144">
        <v>1</v>
      </c>
      <c r="C144">
        <v>1.71540360001381</v>
      </c>
      <c r="D144" t="str">
        <f t="shared" si="2"/>
        <v>pre</v>
      </c>
    </row>
    <row r="145" spans="1:4" x14ac:dyDescent="0.35">
      <c r="A145">
        <v>58</v>
      </c>
      <c r="B145">
        <v>0</v>
      </c>
      <c r="C145">
        <v>1.59244179999222</v>
      </c>
      <c r="D145" t="str">
        <f t="shared" si="2"/>
        <v>pre</v>
      </c>
    </row>
    <row r="146" spans="1:4" x14ac:dyDescent="0.35">
      <c r="A146">
        <v>70</v>
      </c>
      <c r="B146">
        <v>0</v>
      </c>
      <c r="C146">
        <v>1.5684828999801499</v>
      </c>
      <c r="D146" t="str">
        <f t="shared" si="2"/>
        <v>pre</v>
      </c>
    </row>
    <row r="147" spans="1:4" x14ac:dyDescent="0.35">
      <c r="A147">
        <v>47</v>
      </c>
      <c r="B147">
        <v>0</v>
      </c>
      <c r="C147">
        <v>1.4740489000105299</v>
      </c>
      <c r="D147" t="str">
        <f t="shared" si="2"/>
        <v>pre</v>
      </c>
    </row>
    <row r="148" spans="1:4" x14ac:dyDescent="0.35">
      <c r="A148">
        <v>67</v>
      </c>
      <c r="B148">
        <v>1</v>
      </c>
      <c r="C148">
        <v>3.04989879997447</v>
      </c>
      <c r="D148" t="str">
        <f t="shared" si="2"/>
        <v>pre</v>
      </c>
    </row>
    <row r="149" spans="1:4" x14ac:dyDescent="0.35">
      <c r="A149">
        <v>25</v>
      </c>
      <c r="B149">
        <v>0</v>
      </c>
      <c r="C149">
        <v>0.13839259999804199</v>
      </c>
      <c r="D149" t="str">
        <f t="shared" si="2"/>
        <v>pre</v>
      </c>
    </row>
    <row r="150" spans="1:4" x14ac:dyDescent="0.35">
      <c r="A150">
        <v>8</v>
      </c>
      <c r="B150">
        <v>0</v>
      </c>
      <c r="C150">
        <v>1.6825383999967001</v>
      </c>
      <c r="D150" t="str">
        <f t="shared" si="2"/>
        <v>pre</v>
      </c>
    </row>
    <row r="151" spans="1:4" x14ac:dyDescent="0.35">
      <c r="A151">
        <v>13</v>
      </c>
      <c r="B151">
        <v>1</v>
      </c>
      <c r="C151">
        <v>2.7828741999692199</v>
      </c>
      <c r="D151" t="str">
        <f t="shared" si="2"/>
        <v>pre</v>
      </c>
    </row>
    <row r="152" spans="1:4" x14ac:dyDescent="0.35">
      <c r="A152">
        <v>7</v>
      </c>
      <c r="B152">
        <v>0</v>
      </c>
      <c r="C152">
        <v>1.52601699996739</v>
      </c>
      <c r="D152" t="str">
        <f t="shared" si="2"/>
        <v>pre</v>
      </c>
    </row>
    <row r="153" spans="1:4" x14ac:dyDescent="0.35">
      <c r="A153">
        <v>76</v>
      </c>
      <c r="B153">
        <v>1</v>
      </c>
      <c r="C153">
        <v>1.8672026999993201</v>
      </c>
      <c r="D153" t="str">
        <f t="shared" si="2"/>
        <v>pre</v>
      </c>
    </row>
    <row r="154" spans="1:4" x14ac:dyDescent="0.35">
      <c r="A154">
        <v>29</v>
      </c>
      <c r="B154">
        <v>0</v>
      </c>
      <c r="C154">
        <v>1.89909919997444</v>
      </c>
      <c r="D154" t="str">
        <f t="shared" si="2"/>
        <v>pre</v>
      </c>
    </row>
    <row r="155" spans="1:4" x14ac:dyDescent="0.35">
      <c r="A155">
        <v>71</v>
      </c>
      <c r="B155">
        <v>0</v>
      </c>
      <c r="C155">
        <v>1.7910352000035299</v>
      </c>
      <c r="D155" t="str">
        <f t="shared" si="2"/>
        <v>pre</v>
      </c>
    </row>
    <row r="156" spans="1:4" x14ac:dyDescent="0.35">
      <c r="A156">
        <v>69</v>
      </c>
      <c r="B156">
        <v>0</v>
      </c>
      <c r="C156">
        <v>1.6614839000394499</v>
      </c>
      <c r="D156" t="str">
        <f t="shared" si="2"/>
        <v>pre</v>
      </c>
    </row>
    <row r="157" spans="1:4" x14ac:dyDescent="0.35">
      <c r="A157">
        <v>78</v>
      </c>
      <c r="B157">
        <v>0</v>
      </c>
      <c r="C157">
        <v>1.67762530001346</v>
      </c>
      <c r="D157" t="str">
        <f t="shared" si="2"/>
        <v>pre</v>
      </c>
    </row>
    <row r="158" spans="1:4" x14ac:dyDescent="0.35">
      <c r="A158">
        <v>40</v>
      </c>
      <c r="B158">
        <v>0</v>
      </c>
      <c r="C158">
        <v>1.5053840000182299</v>
      </c>
      <c r="D158" t="str">
        <f t="shared" si="2"/>
        <v>pre</v>
      </c>
    </row>
    <row r="159" spans="1:4" x14ac:dyDescent="0.35">
      <c r="A159">
        <v>31</v>
      </c>
      <c r="B159">
        <v>0</v>
      </c>
      <c r="C159">
        <v>3.12393080000765</v>
      </c>
      <c r="D159" t="str">
        <f t="shared" si="2"/>
        <v>pre</v>
      </c>
    </row>
    <row r="160" spans="1:4" x14ac:dyDescent="0.35">
      <c r="A160">
        <v>18</v>
      </c>
      <c r="B160">
        <v>0</v>
      </c>
      <c r="C160">
        <v>1.4883746000123199</v>
      </c>
      <c r="D160" t="str">
        <f t="shared" si="2"/>
        <v>pre</v>
      </c>
    </row>
    <row r="161" spans="1:4" x14ac:dyDescent="0.35">
      <c r="A161">
        <v>51</v>
      </c>
      <c r="B161">
        <v>0</v>
      </c>
      <c r="C161">
        <v>1.54898449999745</v>
      </c>
      <c r="D161" t="str">
        <f t="shared" si="2"/>
        <v>pre</v>
      </c>
    </row>
    <row r="162" spans="1:4" x14ac:dyDescent="0.35">
      <c r="A162">
        <v>33</v>
      </c>
      <c r="B162">
        <v>0</v>
      </c>
      <c r="C162">
        <v>1.8947834999999</v>
      </c>
      <c r="D162" t="str">
        <f t="shared" si="2"/>
        <v>pre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403F-FC21-49DA-B13F-F78CFBE1DEF8}">
  <dimension ref="A1:F162"/>
  <sheetViews>
    <sheetView workbookViewId="0">
      <selection activeCell="G3" sqref="G3"/>
    </sheetView>
  </sheetViews>
  <sheetFormatPr defaultRowHeight="14.5" x14ac:dyDescent="0.35"/>
  <cols>
    <col min="4" max="4" width="10.6328125" customWidth="1"/>
    <col min="5" max="5" width="13.26953125" customWidth="1"/>
    <col min="6" max="6" width="10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3" spans="1:6" x14ac:dyDescent="0.35">
      <c r="A3">
        <v>2</v>
      </c>
      <c r="B3">
        <v>1</v>
      </c>
      <c r="C3">
        <v>2.38826039998093</v>
      </c>
      <c r="D3" t="str">
        <f>IF(A3&lt;80,"pre","post")</f>
        <v>pre</v>
      </c>
      <c r="E3" t="s">
        <v>4</v>
      </c>
      <c r="F3">
        <f>AVERAGEIF(D:D,"pre",C:C)</f>
        <v>2.6459407601277092</v>
      </c>
    </row>
    <row r="4" spans="1:6" x14ac:dyDescent="0.35">
      <c r="A4">
        <v>14</v>
      </c>
      <c r="B4">
        <v>0</v>
      </c>
      <c r="C4">
        <v>2.3428702000528498</v>
      </c>
      <c r="D4" t="str">
        <f t="shared" ref="D4:D67" si="0">IF(A4&lt;80,"pre","post")</f>
        <v>pre</v>
      </c>
      <c r="E4" t="s">
        <v>5</v>
      </c>
      <c r="F4">
        <f>AVERAGEIF(D:D,"post",C:C)</f>
        <v>2.8349492000124852</v>
      </c>
    </row>
    <row r="5" spans="1:6" x14ac:dyDescent="0.35">
      <c r="A5">
        <v>32</v>
      </c>
      <c r="B5">
        <v>0</v>
      </c>
      <c r="C5">
        <v>2.3327430000063001</v>
      </c>
      <c r="D5" t="str">
        <f t="shared" si="0"/>
        <v>pre</v>
      </c>
    </row>
    <row r="6" spans="1:6" x14ac:dyDescent="0.35">
      <c r="A6">
        <v>18</v>
      </c>
      <c r="B6">
        <v>0</v>
      </c>
      <c r="C6">
        <v>1.8794528000289501</v>
      </c>
      <c r="D6" t="str">
        <f t="shared" si="0"/>
        <v>pre</v>
      </c>
      <c r="E6" t="s">
        <v>6</v>
      </c>
      <c r="F6">
        <f>1-AVERAGEIF(D:D,"pre",B:B)</f>
        <v>0.79113924050632911</v>
      </c>
    </row>
    <row r="7" spans="1:6" x14ac:dyDescent="0.35">
      <c r="A7">
        <v>78</v>
      </c>
      <c r="B7">
        <v>0</v>
      </c>
      <c r="C7">
        <v>1.4614224999677301</v>
      </c>
      <c r="D7" t="str">
        <f t="shared" si="0"/>
        <v>pre</v>
      </c>
      <c r="E7" t="s">
        <v>7</v>
      </c>
      <c r="F7">
        <f>1-AVERAGEIF(D:D,"post",B:B)</f>
        <v>1</v>
      </c>
    </row>
    <row r="8" spans="1:6" x14ac:dyDescent="0.35">
      <c r="A8">
        <v>45</v>
      </c>
      <c r="B8">
        <v>1</v>
      </c>
      <c r="C8">
        <v>1.43081910000182</v>
      </c>
      <c r="D8" t="str">
        <f t="shared" si="0"/>
        <v>pre</v>
      </c>
    </row>
    <row r="9" spans="1:6" x14ac:dyDescent="0.35">
      <c r="A9">
        <v>46</v>
      </c>
      <c r="B9">
        <v>0</v>
      </c>
      <c r="C9">
        <v>1.3045251999865199</v>
      </c>
      <c r="D9" t="str">
        <f t="shared" si="0"/>
        <v>pre</v>
      </c>
    </row>
    <row r="10" spans="1:6" x14ac:dyDescent="0.35">
      <c r="A10">
        <v>56</v>
      </c>
      <c r="B10">
        <v>0</v>
      </c>
      <c r="C10">
        <v>3.08598400000482</v>
      </c>
      <c r="D10" t="str">
        <f t="shared" si="0"/>
        <v>pre</v>
      </c>
    </row>
    <row r="11" spans="1:6" x14ac:dyDescent="0.35">
      <c r="A11">
        <v>47</v>
      </c>
      <c r="B11">
        <v>0</v>
      </c>
      <c r="C11">
        <v>1.6665287999785501</v>
      </c>
      <c r="D11" t="str">
        <f t="shared" si="0"/>
        <v>pre</v>
      </c>
    </row>
    <row r="12" spans="1:6" x14ac:dyDescent="0.35">
      <c r="A12">
        <v>57</v>
      </c>
      <c r="B12">
        <v>0</v>
      </c>
      <c r="C12">
        <v>3.9031225999933601</v>
      </c>
      <c r="D12" t="str">
        <f t="shared" si="0"/>
        <v>pre</v>
      </c>
    </row>
    <row r="13" spans="1:6" x14ac:dyDescent="0.35">
      <c r="A13">
        <v>49</v>
      </c>
      <c r="B13">
        <v>0</v>
      </c>
      <c r="C13">
        <v>1.56908660003682</v>
      </c>
      <c r="D13" t="str">
        <f t="shared" si="0"/>
        <v>pre</v>
      </c>
    </row>
    <row r="14" spans="1:6" x14ac:dyDescent="0.35">
      <c r="A14">
        <v>12</v>
      </c>
      <c r="B14">
        <v>1</v>
      </c>
      <c r="C14">
        <v>1.5340095999999901</v>
      </c>
      <c r="D14" t="str">
        <f t="shared" si="0"/>
        <v>pre</v>
      </c>
    </row>
    <row r="15" spans="1:6" x14ac:dyDescent="0.35">
      <c r="A15">
        <v>3</v>
      </c>
      <c r="B15">
        <v>0</v>
      </c>
      <c r="C15">
        <v>1.50425519997952</v>
      </c>
      <c r="D15" t="str">
        <f t="shared" si="0"/>
        <v>pre</v>
      </c>
    </row>
    <row r="16" spans="1:6" x14ac:dyDescent="0.35">
      <c r="A16">
        <v>43</v>
      </c>
      <c r="B16">
        <v>0</v>
      </c>
      <c r="C16">
        <v>1.5221405000193</v>
      </c>
      <c r="D16" t="str">
        <f t="shared" si="0"/>
        <v>pre</v>
      </c>
    </row>
    <row r="17" spans="1:4" x14ac:dyDescent="0.35">
      <c r="A17">
        <v>41</v>
      </c>
      <c r="B17">
        <v>0</v>
      </c>
      <c r="C17">
        <v>1.60001170000759</v>
      </c>
      <c r="D17" t="str">
        <f t="shared" si="0"/>
        <v>pre</v>
      </c>
    </row>
    <row r="18" spans="1:4" x14ac:dyDescent="0.35">
      <c r="A18">
        <v>64</v>
      </c>
      <c r="B18">
        <v>0</v>
      </c>
      <c r="C18">
        <v>1.4801096000010101</v>
      </c>
      <c r="D18" t="str">
        <f t="shared" si="0"/>
        <v>pre</v>
      </c>
    </row>
    <row r="19" spans="1:4" x14ac:dyDescent="0.35">
      <c r="A19">
        <v>76</v>
      </c>
      <c r="B19">
        <v>0</v>
      </c>
      <c r="C19">
        <v>1.61281439999584</v>
      </c>
      <c r="D19" t="str">
        <f t="shared" si="0"/>
        <v>pre</v>
      </c>
    </row>
    <row r="20" spans="1:4" x14ac:dyDescent="0.35">
      <c r="A20">
        <v>9</v>
      </c>
      <c r="B20">
        <v>1</v>
      </c>
      <c r="C20">
        <v>1.47186449996661</v>
      </c>
      <c r="D20" t="str">
        <f t="shared" si="0"/>
        <v>pre</v>
      </c>
    </row>
    <row r="21" spans="1:4" x14ac:dyDescent="0.35">
      <c r="A21">
        <v>53</v>
      </c>
      <c r="B21">
        <v>0</v>
      </c>
      <c r="C21">
        <v>1.5909087999607401</v>
      </c>
      <c r="D21" t="str">
        <f t="shared" si="0"/>
        <v>pre</v>
      </c>
    </row>
    <row r="22" spans="1:4" x14ac:dyDescent="0.35">
      <c r="A22">
        <v>36</v>
      </c>
      <c r="B22">
        <v>0</v>
      </c>
      <c r="C22">
        <v>1.5793565000058101</v>
      </c>
      <c r="D22" t="str">
        <f t="shared" si="0"/>
        <v>pre</v>
      </c>
    </row>
    <row r="23" spans="1:4" x14ac:dyDescent="0.35">
      <c r="A23">
        <v>10</v>
      </c>
      <c r="B23">
        <v>0</v>
      </c>
      <c r="C23">
        <v>1.3972735000425001</v>
      </c>
      <c r="D23" t="str">
        <f t="shared" si="0"/>
        <v>pre</v>
      </c>
    </row>
    <row r="24" spans="1:4" x14ac:dyDescent="0.35">
      <c r="A24">
        <v>60</v>
      </c>
      <c r="B24">
        <v>0</v>
      </c>
      <c r="C24">
        <v>1.3304159999825</v>
      </c>
      <c r="D24" t="str">
        <f t="shared" si="0"/>
        <v>pre</v>
      </c>
    </row>
    <row r="25" spans="1:4" x14ac:dyDescent="0.35">
      <c r="A25">
        <v>17</v>
      </c>
      <c r="B25">
        <v>0</v>
      </c>
      <c r="C25">
        <v>3.7270757000078398</v>
      </c>
      <c r="D25" t="str">
        <f t="shared" si="0"/>
        <v>pre</v>
      </c>
    </row>
    <row r="26" spans="1:4" x14ac:dyDescent="0.35">
      <c r="A26">
        <v>52</v>
      </c>
      <c r="B26">
        <v>0</v>
      </c>
      <c r="C26">
        <v>1.6723159000393899</v>
      </c>
      <c r="D26" t="str">
        <f t="shared" si="0"/>
        <v>pre</v>
      </c>
    </row>
    <row r="27" spans="1:4" x14ac:dyDescent="0.35">
      <c r="A27">
        <v>15</v>
      </c>
      <c r="B27">
        <v>0</v>
      </c>
      <c r="C27">
        <v>1.6290030999807601</v>
      </c>
      <c r="D27" t="str">
        <f t="shared" si="0"/>
        <v>pre</v>
      </c>
    </row>
    <row r="28" spans="1:4" x14ac:dyDescent="0.35">
      <c r="A28">
        <v>59</v>
      </c>
      <c r="B28">
        <v>0</v>
      </c>
      <c r="C28">
        <v>1.44881199998781</v>
      </c>
      <c r="D28" t="str">
        <f t="shared" si="0"/>
        <v>pre</v>
      </c>
    </row>
    <row r="29" spans="1:4" x14ac:dyDescent="0.35">
      <c r="A29">
        <v>35</v>
      </c>
      <c r="B29">
        <v>0</v>
      </c>
      <c r="C29">
        <v>1.6165389000088899</v>
      </c>
      <c r="D29" t="str">
        <f t="shared" si="0"/>
        <v>pre</v>
      </c>
    </row>
    <row r="30" spans="1:4" x14ac:dyDescent="0.35">
      <c r="A30">
        <v>31</v>
      </c>
      <c r="B30">
        <v>0</v>
      </c>
      <c r="C30">
        <v>2.0089626999688299</v>
      </c>
      <c r="D30" t="str">
        <f t="shared" si="0"/>
        <v>pre</v>
      </c>
    </row>
    <row r="31" spans="1:4" x14ac:dyDescent="0.35">
      <c r="A31">
        <v>70</v>
      </c>
      <c r="B31">
        <v>0</v>
      </c>
      <c r="C31">
        <v>1.4773021999862901</v>
      </c>
      <c r="D31" t="str">
        <f t="shared" si="0"/>
        <v>pre</v>
      </c>
    </row>
    <row r="32" spans="1:4" x14ac:dyDescent="0.35">
      <c r="A32">
        <v>63</v>
      </c>
      <c r="B32">
        <v>0</v>
      </c>
      <c r="C32">
        <v>1.3769873999990501</v>
      </c>
      <c r="D32" t="str">
        <f t="shared" si="0"/>
        <v>pre</v>
      </c>
    </row>
    <row r="33" spans="1:4" x14ac:dyDescent="0.35">
      <c r="A33">
        <v>68</v>
      </c>
      <c r="B33">
        <v>0</v>
      </c>
      <c r="C33">
        <v>2.3104073999565999</v>
      </c>
      <c r="D33" t="str">
        <f t="shared" si="0"/>
        <v>pre</v>
      </c>
    </row>
    <row r="34" spans="1:4" x14ac:dyDescent="0.35">
      <c r="A34">
        <v>11</v>
      </c>
      <c r="B34">
        <v>0</v>
      </c>
      <c r="C34">
        <v>1.61213129997486</v>
      </c>
      <c r="D34" t="str">
        <f t="shared" si="0"/>
        <v>pre</v>
      </c>
    </row>
    <row r="35" spans="1:4" x14ac:dyDescent="0.35">
      <c r="A35">
        <v>42</v>
      </c>
      <c r="B35">
        <v>1</v>
      </c>
      <c r="C35">
        <v>1.4852659000316599</v>
      </c>
      <c r="D35" t="str">
        <f t="shared" si="0"/>
        <v>pre</v>
      </c>
    </row>
    <row r="36" spans="1:4" x14ac:dyDescent="0.35">
      <c r="A36">
        <v>21</v>
      </c>
      <c r="B36">
        <v>0</v>
      </c>
      <c r="C36">
        <v>1.59593219996895</v>
      </c>
      <c r="D36" t="str">
        <f t="shared" si="0"/>
        <v>pre</v>
      </c>
    </row>
    <row r="37" spans="1:4" x14ac:dyDescent="0.35">
      <c r="A37">
        <v>44</v>
      </c>
      <c r="B37">
        <v>1</v>
      </c>
      <c r="C37">
        <v>1.8330214000306999</v>
      </c>
      <c r="D37" t="str">
        <f t="shared" si="0"/>
        <v>pre</v>
      </c>
    </row>
    <row r="38" spans="1:4" x14ac:dyDescent="0.35">
      <c r="A38">
        <v>6</v>
      </c>
      <c r="B38">
        <v>0</v>
      </c>
      <c r="C38">
        <v>1.55307890003314</v>
      </c>
      <c r="D38" t="str">
        <f t="shared" si="0"/>
        <v>pre</v>
      </c>
    </row>
    <row r="39" spans="1:4" x14ac:dyDescent="0.35">
      <c r="A39">
        <v>50</v>
      </c>
      <c r="B39">
        <v>1</v>
      </c>
      <c r="C39">
        <v>1.7969439000007601</v>
      </c>
      <c r="D39" t="str">
        <f t="shared" si="0"/>
        <v>pre</v>
      </c>
    </row>
    <row r="40" spans="1:4" x14ac:dyDescent="0.35">
      <c r="A40">
        <v>23</v>
      </c>
      <c r="B40">
        <v>0</v>
      </c>
      <c r="C40">
        <v>1.41539490001741</v>
      </c>
      <c r="D40" t="str">
        <f t="shared" si="0"/>
        <v>pre</v>
      </c>
    </row>
    <row r="41" spans="1:4" x14ac:dyDescent="0.35">
      <c r="A41">
        <v>37</v>
      </c>
      <c r="B41">
        <v>0</v>
      </c>
      <c r="C41">
        <v>1.6417191000073199</v>
      </c>
      <c r="D41" t="str">
        <f t="shared" si="0"/>
        <v>pre</v>
      </c>
    </row>
    <row r="42" spans="1:4" x14ac:dyDescent="0.35">
      <c r="A42">
        <v>66</v>
      </c>
      <c r="B42">
        <v>0</v>
      </c>
      <c r="C42">
        <v>2.03610159998061</v>
      </c>
      <c r="D42" t="str">
        <f t="shared" si="0"/>
        <v>pre</v>
      </c>
    </row>
    <row r="43" spans="1:4" x14ac:dyDescent="0.35">
      <c r="A43">
        <v>75</v>
      </c>
      <c r="B43">
        <v>0</v>
      </c>
      <c r="C43">
        <v>1.6054326000157699</v>
      </c>
      <c r="D43" t="str">
        <f t="shared" si="0"/>
        <v>pre</v>
      </c>
    </row>
    <row r="44" spans="1:4" x14ac:dyDescent="0.35">
      <c r="A44">
        <v>4</v>
      </c>
      <c r="B44">
        <v>0</v>
      </c>
      <c r="C44">
        <v>2.3658471999806299</v>
      </c>
      <c r="D44" t="str">
        <f t="shared" si="0"/>
        <v>pre</v>
      </c>
    </row>
    <row r="45" spans="1:4" x14ac:dyDescent="0.35">
      <c r="A45">
        <v>22</v>
      </c>
      <c r="B45">
        <v>0</v>
      </c>
      <c r="C45">
        <v>1.52111530001275</v>
      </c>
      <c r="D45" t="str">
        <f t="shared" si="0"/>
        <v>pre</v>
      </c>
    </row>
    <row r="46" spans="1:4" x14ac:dyDescent="0.35">
      <c r="A46">
        <v>20</v>
      </c>
      <c r="B46">
        <v>1</v>
      </c>
      <c r="C46">
        <v>1.4639526999671899</v>
      </c>
      <c r="D46" t="str">
        <f t="shared" si="0"/>
        <v>pre</v>
      </c>
    </row>
    <row r="47" spans="1:4" x14ac:dyDescent="0.35">
      <c r="A47">
        <v>61</v>
      </c>
      <c r="B47">
        <v>0</v>
      </c>
      <c r="C47">
        <v>2.18259300000499</v>
      </c>
      <c r="D47" t="str">
        <f t="shared" si="0"/>
        <v>pre</v>
      </c>
    </row>
    <row r="48" spans="1:4" x14ac:dyDescent="0.35">
      <c r="A48">
        <v>67</v>
      </c>
      <c r="B48">
        <v>1</v>
      </c>
      <c r="C48">
        <v>1.48048600001493</v>
      </c>
      <c r="D48" t="str">
        <f t="shared" si="0"/>
        <v>pre</v>
      </c>
    </row>
    <row r="49" spans="1:4" x14ac:dyDescent="0.35">
      <c r="A49">
        <v>62</v>
      </c>
      <c r="B49">
        <v>0</v>
      </c>
      <c r="C49">
        <v>1.4950176999554901</v>
      </c>
      <c r="D49" t="str">
        <f t="shared" si="0"/>
        <v>pre</v>
      </c>
    </row>
    <row r="50" spans="1:4" x14ac:dyDescent="0.35">
      <c r="A50">
        <v>28</v>
      </c>
      <c r="B50">
        <v>0</v>
      </c>
      <c r="C50">
        <v>1.7466106999781901</v>
      </c>
      <c r="D50" t="str">
        <f t="shared" si="0"/>
        <v>pre</v>
      </c>
    </row>
    <row r="51" spans="1:4" x14ac:dyDescent="0.35">
      <c r="A51">
        <v>74</v>
      </c>
      <c r="B51">
        <v>0</v>
      </c>
      <c r="C51">
        <v>1.8688460999983301</v>
      </c>
      <c r="D51" t="str">
        <f t="shared" si="0"/>
        <v>pre</v>
      </c>
    </row>
    <row r="52" spans="1:4" x14ac:dyDescent="0.35">
      <c r="A52">
        <v>55</v>
      </c>
      <c r="B52">
        <v>0</v>
      </c>
      <c r="C52">
        <v>1.8233547999989199</v>
      </c>
      <c r="D52" t="str">
        <f t="shared" si="0"/>
        <v>pre</v>
      </c>
    </row>
    <row r="53" spans="1:4" x14ac:dyDescent="0.35">
      <c r="A53">
        <v>26</v>
      </c>
      <c r="B53">
        <v>0</v>
      </c>
      <c r="C53">
        <v>1.59271709999302</v>
      </c>
      <c r="D53" t="str">
        <f t="shared" si="0"/>
        <v>pre</v>
      </c>
    </row>
    <row r="54" spans="1:4" x14ac:dyDescent="0.35">
      <c r="A54">
        <v>54</v>
      </c>
      <c r="B54">
        <v>0</v>
      </c>
      <c r="C54">
        <v>1.5473799000028501</v>
      </c>
      <c r="D54" t="str">
        <f t="shared" si="0"/>
        <v>pre</v>
      </c>
    </row>
    <row r="55" spans="1:4" x14ac:dyDescent="0.35">
      <c r="A55">
        <v>19</v>
      </c>
      <c r="B55">
        <v>0</v>
      </c>
      <c r="C55">
        <v>1.4240431999787599</v>
      </c>
      <c r="D55" t="str">
        <f t="shared" si="0"/>
        <v>pre</v>
      </c>
    </row>
    <row r="56" spans="1:4" x14ac:dyDescent="0.35">
      <c r="A56">
        <v>13</v>
      </c>
      <c r="B56">
        <v>1</v>
      </c>
      <c r="C56">
        <v>1.44028620002791</v>
      </c>
      <c r="D56" t="str">
        <f t="shared" si="0"/>
        <v>pre</v>
      </c>
    </row>
    <row r="57" spans="1:4" x14ac:dyDescent="0.35">
      <c r="A57">
        <v>80</v>
      </c>
      <c r="B57">
        <v>0</v>
      </c>
      <c r="C57">
        <v>1.32349929999327</v>
      </c>
      <c r="D57" t="str">
        <f t="shared" si="0"/>
        <v>post</v>
      </c>
    </row>
    <row r="58" spans="1:4" x14ac:dyDescent="0.35">
      <c r="A58">
        <v>71</v>
      </c>
      <c r="B58">
        <v>0</v>
      </c>
      <c r="C58">
        <v>1.39927369996439</v>
      </c>
      <c r="D58" t="str">
        <f t="shared" si="0"/>
        <v>pre</v>
      </c>
    </row>
    <row r="59" spans="1:4" x14ac:dyDescent="0.35">
      <c r="A59">
        <v>30</v>
      </c>
      <c r="B59">
        <v>1</v>
      </c>
      <c r="C59">
        <v>1.5540499999769899</v>
      </c>
      <c r="D59" t="str">
        <f t="shared" si="0"/>
        <v>pre</v>
      </c>
    </row>
    <row r="60" spans="1:4" x14ac:dyDescent="0.35">
      <c r="A60">
        <v>65</v>
      </c>
      <c r="B60">
        <v>0</v>
      </c>
      <c r="C60">
        <v>1.6503254999988699</v>
      </c>
      <c r="D60" t="str">
        <f t="shared" si="0"/>
        <v>pre</v>
      </c>
    </row>
    <row r="61" spans="1:4" x14ac:dyDescent="0.35">
      <c r="A61">
        <v>39</v>
      </c>
      <c r="B61">
        <v>1</v>
      </c>
      <c r="C61">
        <v>1.78130980004789</v>
      </c>
      <c r="D61" t="str">
        <f t="shared" si="0"/>
        <v>pre</v>
      </c>
    </row>
    <row r="62" spans="1:4" x14ac:dyDescent="0.35">
      <c r="A62">
        <v>5</v>
      </c>
      <c r="B62">
        <v>0</v>
      </c>
      <c r="C62">
        <v>1.61565669998526</v>
      </c>
      <c r="D62" t="str">
        <f t="shared" si="0"/>
        <v>pre</v>
      </c>
    </row>
    <row r="63" spans="1:4" x14ac:dyDescent="0.35">
      <c r="A63">
        <v>72</v>
      </c>
      <c r="B63">
        <v>0</v>
      </c>
      <c r="C63">
        <v>1.37955049995798</v>
      </c>
      <c r="D63" t="str">
        <f t="shared" si="0"/>
        <v>pre</v>
      </c>
    </row>
    <row r="64" spans="1:4" x14ac:dyDescent="0.35">
      <c r="A64">
        <v>33</v>
      </c>
      <c r="B64">
        <v>0</v>
      </c>
      <c r="C64">
        <v>1.74034419999225</v>
      </c>
      <c r="D64" t="str">
        <f t="shared" si="0"/>
        <v>pre</v>
      </c>
    </row>
    <row r="65" spans="1:4" x14ac:dyDescent="0.35">
      <c r="A65">
        <v>69</v>
      </c>
      <c r="B65">
        <v>0</v>
      </c>
      <c r="C65">
        <v>1.47140909999143</v>
      </c>
      <c r="D65" t="str">
        <f t="shared" si="0"/>
        <v>pre</v>
      </c>
    </row>
    <row r="66" spans="1:4" x14ac:dyDescent="0.35">
      <c r="A66">
        <v>25</v>
      </c>
      <c r="B66">
        <v>1</v>
      </c>
      <c r="C66">
        <v>1.47410449996823</v>
      </c>
      <c r="D66" t="str">
        <f t="shared" si="0"/>
        <v>pre</v>
      </c>
    </row>
    <row r="67" spans="1:4" x14ac:dyDescent="0.35">
      <c r="A67">
        <v>7</v>
      </c>
      <c r="B67">
        <v>0</v>
      </c>
      <c r="C67">
        <v>1.37775250000413</v>
      </c>
      <c r="D67" t="str">
        <f t="shared" si="0"/>
        <v>pre</v>
      </c>
    </row>
    <row r="68" spans="1:4" x14ac:dyDescent="0.35">
      <c r="A68">
        <v>34</v>
      </c>
      <c r="B68">
        <v>0</v>
      </c>
      <c r="C68">
        <v>1.3830944999935999</v>
      </c>
      <c r="D68" t="str">
        <f t="shared" ref="D68:D131" si="1">IF(A68&lt;80,"pre","post")</f>
        <v>pre</v>
      </c>
    </row>
    <row r="69" spans="1:4" x14ac:dyDescent="0.35">
      <c r="A69">
        <v>79</v>
      </c>
      <c r="B69">
        <v>0</v>
      </c>
      <c r="C69">
        <v>1.33185929997125</v>
      </c>
      <c r="D69" t="str">
        <f t="shared" si="1"/>
        <v>pre</v>
      </c>
    </row>
    <row r="70" spans="1:4" x14ac:dyDescent="0.35">
      <c r="A70">
        <v>58</v>
      </c>
      <c r="B70">
        <v>0</v>
      </c>
      <c r="C70">
        <v>1.3334239000105299</v>
      </c>
      <c r="D70" t="str">
        <f t="shared" si="1"/>
        <v>pre</v>
      </c>
    </row>
    <row r="71" spans="1:4" x14ac:dyDescent="0.35">
      <c r="A71">
        <v>8</v>
      </c>
      <c r="B71">
        <v>0</v>
      </c>
      <c r="C71">
        <v>1.39248869998846</v>
      </c>
      <c r="D71" t="str">
        <f t="shared" si="1"/>
        <v>pre</v>
      </c>
    </row>
    <row r="72" spans="1:4" x14ac:dyDescent="0.35">
      <c r="A72">
        <v>16</v>
      </c>
      <c r="B72">
        <v>1</v>
      </c>
      <c r="C72">
        <v>1.35953650000737</v>
      </c>
      <c r="D72" t="str">
        <f t="shared" si="1"/>
        <v>pre</v>
      </c>
    </row>
    <row r="73" spans="1:4" x14ac:dyDescent="0.35">
      <c r="A73">
        <v>24</v>
      </c>
      <c r="B73">
        <v>0</v>
      </c>
      <c r="C73">
        <v>1.5196469999500499</v>
      </c>
      <c r="D73" t="str">
        <f t="shared" si="1"/>
        <v>pre</v>
      </c>
    </row>
    <row r="74" spans="1:4" x14ac:dyDescent="0.35">
      <c r="A74">
        <v>29</v>
      </c>
      <c r="B74">
        <v>0</v>
      </c>
      <c r="C74">
        <v>1.5494599000085101</v>
      </c>
      <c r="D74" t="str">
        <f t="shared" si="1"/>
        <v>pre</v>
      </c>
    </row>
    <row r="75" spans="1:4" x14ac:dyDescent="0.35">
      <c r="A75">
        <v>77</v>
      </c>
      <c r="B75">
        <v>1</v>
      </c>
      <c r="C75">
        <v>1.5215823999606</v>
      </c>
      <c r="D75" t="str">
        <f t="shared" si="1"/>
        <v>pre</v>
      </c>
    </row>
    <row r="76" spans="1:4" x14ac:dyDescent="0.35">
      <c r="A76">
        <v>27</v>
      </c>
      <c r="B76">
        <v>1</v>
      </c>
      <c r="C76">
        <v>1.97246250003809</v>
      </c>
      <c r="D76" t="str">
        <f t="shared" si="1"/>
        <v>pre</v>
      </c>
    </row>
    <row r="77" spans="1:4" x14ac:dyDescent="0.35">
      <c r="A77">
        <v>1</v>
      </c>
      <c r="B77">
        <v>0</v>
      </c>
      <c r="C77">
        <v>1.4166865000152</v>
      </c>
      <c r="D77" t="str">
        <f t="shared" si="1"/>
        <v>pre</v>
      </c>
    </row>
    <row r="78" spans="1:4" x14ac:dyDescent="0.35">
      <c r="A78">
        <v>51</v>
      </c>
      <c r="B78">
        <v>0</v>
      </c>
      <c r="C78">
        <v>1.4722187999868701</v>
      </c>
      <c r="D78" t="str">
        <f t="shared" si="1"/>
        <v>pre</v>
      </c>
    </row>
    <row r="79" spans="1:4" x14ac:dyDescent="0.35">
      <c r="A79">
        <v>73</v>
      </c>
      <c r="B79">
        <v>0</v>
      </c>
      <c r="C79">
        <v>1.4013281000079501</v>
      </c>
      <c r="D79" t="str">
        <f t="shared" si="1"/>
        <v>pre</v>
      </c>
    </row>
    <row r="80" spans="1:4" x14ac:dyDescent="0.35">
      <c r="A80">
        <v>40</v>
      </c>
      <c r="B80">
        <v>0</v>
      </c>
      <c r="C80">
        <v>1.3811057000420901</v>
      </c>
      <c r="D80" t="str">
        <f t="shared" si="1"/>
        <v>pre</v>
      </c>
    </row>
    <row r="81" spans="1:4" x14ac:dyDescent="0.35">
      <c r="A81">
        <v>38</v>
      </c>
      <c r="B81">
        <v>1</v>
      </c>
      <c r="C81">
        <v>1.44408240000484</v>
      </c>
      <c r="D81" t="str">
        <f t="shared" si="1"/>
        <v>pre</v>
      </c>
    </row>
    <row r="82" spans="1:4" x14ac:dyDescent="0.35">
      <c r="A82">
        <v>48</v>
      </c>
      <c r="B82">
        <v>0</v>
      </c>
      <c r="C82">
        <v>1.4821271999971899</v>
      </c>
      <c r="D82" t="str">
        <f t="shared" si="1"/>
        <v>pre</v>
      </c>
    </row>
    <row r="83" spans="1:4" x14ac:dyDescent="0.35">
      <c r="A83">
        <v>56</v>
      </c>
      <c r="B83">
        <v>0</v>
      </c>
      <c r="C83">
        <v>3.0683514000265801</v>
      </c>
      <c r="D83" t="str">
        <f t="shared" si="1"/>
        <v>pre</v>
      </c>
    </row>
    <row r="84" spans="1:4" x14ac:dyDescent="0.35">
      <c r="A84">
        <v>62</v>
      </c>
      <c r="B84">
        <v>0</v>
      </c>
      <c r="C84">
        <v>1.4163855999941</v>
      </c>
      <c r="D84" t="str">
        <f t="shared" si="1"/>
        <v>pre</v>
      </c>
    </row>
    <row r="85" spans="1:4" x14ac:dyDescent="0.35">
      <c r="A85">
        <v>38</v>
      </c>
      <c r="B85">
        <v>1</v>
      </c>
      <c r="C85">
        <v>1.85103540000272</v>
      </c>
      <c r="D85" t="str">
        <f t="shared" si="1"/>
        <v>pre</v>
      </c>
    </row>
    <row r="86" spans="1:4" x14ac:dyDescent="0.35">
      <c r="A86">
        <v>51</v>
      </c>
      <c r="B86">
        <v>0</v>
      </c>
      <c r="C86">
        <v>1.8602674999856299</v>
      </c>
      <c r="D86" t="str">
        <f t="shared" si="1"/>
        <v>pre</v>
      </c>
    </row>
    <row r="87" spans="1:4" x14ac:dyDescent="0.35">
      <c r="A87">
        <v>34</v>
      </c>
      <c r="B87">
        <v>0</v>
      </c>
      <c r="C87">
        <v>1.5461461999802799</v>
      </c>
      <c r="D87" t="str">
        <f t="shared" si="1"/>
        <v>pre</v>
      </c>
    </row>
    <row r="88" spans="1:4" x14ac:dyDescent="0.35">
      <c r="A88">
        <v>3</v>
      </c>
      <c r="B88">
        <v>0</v>
      </c>
      <c r="C88">
        <v>2.49936089996481</v>
      </c>
      <c r="D88" t="str">
        <f t="shared" si="1"/>
        <v>pre</v>
      </c>
    </row>
    <row r="89" spans="1:4" x14ac:dyDescent="0.35">
      <c r="A89">
        <v>27</v>
      </c>
      <c r="B89">
        <v>0</v>
      </c>
      <c r="C89">
        <v>6.0943299962673302E-2</v>
      </c>
      <c r="D89" t="str">
        <f t="shared" si="1"/>
        <v>pre</v>
      </c>
    </row>
    <row r="90" spans="1:4" x14ac:dyDescent="0.35">
      <c r="A90">
        <v>8</v>
      </c>
      <c r="B90">
        <v>0</v>
      </c>
      <c r="C90">
        <v>2.5050915000028899</v>
      </c>
      <c r="D90" t="str">
        <f t="shared" si="1"/>
        <v>pre</v>
      </c>
    </row>
    <row r="91" spans="1:4" x14ac:dyDescent="0.35">
      <c r="A91">
        <v>69</v>
      </c>
      <c r="B91">
        <v>0</v>
      </c>
      <c r="C91">
        <v>2.3451715000555802</v>
      </c>
      <c r="D91" t="str">
        <f t="shared" si="1"/>
        <v>pre</v>
      </c>
    </row>
    <row r="92" spans="1:4" x14ac:dyDescent="0.35">
      <c r="A92">
        <v>58</v>
      </c>
      <c r="B92">
        <v>1</v>
      </c>
      <c r="C92">
        <v>2.8293616999872002</v>
      </c>
      <c r="D92" t="str">
        <f t="shared" si="1"/>
        <v>pre</v>
      </c>
    </row>
    <row r="93" spans="1:4" x14ac:dyDescent="0.35">
      <c r="A93">
        <v>13</v>
      </c>
      <c r="B93">
        <v>0</v>
      </c>
      <c r="C93">
        <v>2.6222203999641298</v>
      </c>
      <c r="D93" t="str">
        <f t="shared" si="1"/>
        <v>pre</v>
      </c>
    </row>
    <row r="94" spans="1:4" x14ac:dyDescent="0.35">
      <c r="A94">
        <v>24</v>
      </c>
      <c r="B94">
        <v>0</v>
      </c>
      <c r="C94">
        <v>1.7427009000093601</v>
      </c>
      <c r="D94" t="str">
        <f t="shared" si="1"/>
        <v>pre</v>
      </c>
    </row>
    <row r="95" spans="1:4" x14ac:dyDescent="0.35">
      <c r="A95">
        <v>65</v>
      </c>
      <c r="B95">
        <v>0</v>
      </c>
      <c r="C95">
        <v>1.8111838999902801</v>
      </c>
      <c r="D95" t="str">
        <f t="shared" si="1"/>
        <v>pre</v>
      </c>
    </row>
    <row r="96" spans="1:4" x14ac:dyDescent="0.35">
      <c r="A96">
        <v>7</v>
      </c>
      <c r="B96">
        <v>0</v>
      </c>
      <c r="C96">
        <v>2.3258438000338999</v>
      </c>
      <c r="D96" t="str">
        <f t="shared" si="1"/>
        <v>pre</v>
      </c>
    </row>
    <row r="97" spans="1:4" x14ac:dyDescent="0.35">
      <c r="A97">
        <v>46</v>
      </c>
      <c r="B97">
        <v>0</v>
      </c>
      <c r="C97">
        <v>4.3670115000568304</v>
      </c>
      <c r="D97" t="str">
        <f t="shared" si="1"/>
        <v>pre</v>
      </c>
    </row>
    <row r="98" spans="1:4" x14ac:dyDescent="0.35">
      <c r="A98">
        <v>45</v>
      </c>
      <c r="B98">
        <v>1</v>
      </c>
      <c r="C98">
        <v>4.6898145999875798</v>
      </c>
      <c r="D98" t="str">
        <f t="shared" si="1"/>
        <v>pre</v>
      </c>
    </row>
    <row r="99" spans="1:4" x14ac:dyDescent="0.35">
      <c r="A99">
        <v>40</v>
      </c>
      <c r="B99">
        <v>0</v>
      </c>
      <c r="C99">
        <v>3.4235668000183002</v>
      </c>
      <c r="D99" t="str">
        <f t="shared" si="1"/>
        <v>pre</v>
      </c>
    </row>
    <row r="100" spans="1:4" x14ac:dyDescent="0.35">
      <c r="A100">
        <v>17</v>
      </c>
      <c r="B100">
        <v>0</v>
      </c>
      <c r="C100">
        <v>4.5260207999963296</v>
      </c>
      <c r="D100" t="str">
        <f t="shared" si="1"/>
        <v>pre</v>
      </c>
    </row>
    <row r="101" spans="1:4" x14ac:dyDescent="0.35">
      <c r="A101">
        <v>63</v>
      </c>
      <c r="B101">
        <v>0</v>
      </c>
      <c r="C101">
        <v>3.7506151000270598</v>
      </c>
      <c r="D101" t="str">
        <f t="shared" si="1"/>
        <v>pre</v>
      </c>
    </row>
    <row r="102" spans="1:4" x14ac:dyDescent="0.35">
      <c r="A102">
        <v>43</v>
      </c>
      <c r="B102">
        <v>0</v>
      </c>
      <c r="C102">
        <v>4.70713340002112</v>
      </c>
      <c r="D102" t="str">
        <f t="shared" si="1"/>
        <v>pre</v>
      </c>
    </row>
    <row r="103" spans="1:4" x14ac:dyDescent="0.35">
      <c r="A103">
        <v>67</v>
      </c>
      <c r="B103">
        <v>1</v>
      </c>
      <c r="C103">
        <v>2.18277170002693</v>
      </c>
      <c r="D103" t="str">
        <f t="shared" si="1"/>
        <v>pre</v>
      </c>
    </row>
    <row r="104" spans="1:4" x14ac:dyDescent="0.35">
      <c r="A104">
        <v>1</v>
      </c>
      <c r="B104">
        <v>0</v>
      </c>
      <c r="C104">
        <v>8.0505417999811399</v>
      </c>
      <c r="D104" t="str">
        <f t="shared" si="1"/>
        <v>pre</v>
      </c>
    </row>
    <row r="105" spans="1:4" x14ac:dyDescent="0.35">
      <c r="A105">
        <v>20</v>
      </c>
      <c r="B105">
        <v>1</v>
      </c>
      <c r="C105">
        <v>4.7764221000252203</v>
      </c>
      <c r="D105" t="str">
        <f t="shared" si="1"/>
        <v>pre</v>
      </c>
    </row>
    <row r="106" spans="1:4" x14ac:dyDescent="0.35">
      <c r="A106">
        <v>22</v>
      </c>
      <c r="B106">
        <v>0</v>
      </c>
      <c r="C106">
        <v>4.4491070999647402</v>
      </c>
      <c r="D106" t="str">
        <f t="shared" si="1"/>
        <v>pre</v>
      </c>
    </row>
    <row r="107" spans="1:4" x14ac:dyDescent="0.35">
      <c r="A107">
        <v>10</v>
      </c>
      <c r="B107">
        <v>0</v>
      </c>
      <c r="C107">
        <v>3.7949371000286098</v>
      </c>
      <c r="D107" t="str">
        <f t="shared" si="1"/>
        <v>pre</v>
      </c>
    </row>
    <row r="108" spans="1:4" x14ac:dyDescent="0.35">
      <c r="A108">
        <v>9</v>
      </c>
      <c r="B108">
        <v>1</v>
      </c>
      <c r="C108">
        <v>3.6061784999910702</v>
      </c>
      <c r="D108" t="str">
        <f t="shared" si="1"/>
        <v>pre</v>
      </c>
    </row>
    <row r="109" spans="1:4" x14ac:dyDescent="0.35">
      <c r="A109">
        <v>36</v>
      </c>
      <c r="B109">
        <v>0</v>
      </c>
      <c r="C109">
        <v>3.2116231999825602</v>
      </c>
      <c r="D109" t="str">
        <f t="shared" si="1"/>
        <v>pre</v>
      </c>
    </row>
    <row r="110" spans="1:4" x14ac:dyDescent="0.35">
      <c r="A110">
        <v>11</v>
      </c>
      <c r="B110">
        <v>0</v>
      </c>
      <c r="C110">
        <v>3.58245670003816</v>
      </c>
      <c r="D110" t="str">
        <f t="shared" si="1"/>
        <v>pre</v>
      </c>
    </row>
    <row r="111" spans="1:4" x14ac:dyDescent="0.35">
      <c r="A111">
        <v>15</v>
      </c>
      <c r="B111">
        <v>0</v>
      </c>
      <c r="C111">
        <v>3.2456468000309502</v>
      </c>
      <c r="D111" t="str">
        <f t="shared" si="1"/>
        <v>pre</v>
      </c>
    </row>
    <row r="112" spans="1:4" x14ac:dyDescent="0.35">
      <c r="A112">
        <v>59</v>
      </c>
      <c r="B112">
        <v>0</v>
      </c>
      <c r="C112">
        <v>4.1735417000017998</v>
      </c>
      <c r="D112" t="str">
        <f t="shared" si="1"/>
        <v>pre</v>
      </c>
    </row>
    <row r="113" spans="1:4" x14ac:dyDescent="0.35">
      <c r="A113">
        <v>19</v>
      </c>
      <c r="B113">
        <v>0</v>
      </c>
      <c r="C113">
        <v>3.98180930002126</v>
      </c>
      <c r="D113" t="str">
        <f t="shared" si="1"/>
        <v>pre</v>
      </c>
    </row>
    <row r="114" spans="1:4" x14ac:dyDescent="0.35">
      <c r="A114">
        <v>48</v>
      </c>
      <c r="B114">
        <v>0</v>
      </c>
      <c r="C114">
        <v>6.0374129000119803</v>
      </c>
      <c r="D114" t="str">
        <f t="shared" si="1"/>
        <v>pre</v>
      </c>
    </row>
    <row r="115" spans="1:4" x14ac:dyDescent="0.35">
      <c r="A115">
        <v>25</v>
      </c>
      <c r="B115">
        <v>1</v>
      </c>
      <c r="C115">
        <v>3.2850914000300602</v>
      </c>
      <c r="D115" t="str">
        <f t="shared" si="1"/>
        <v>pre</v>
      </c>
    </row>
    <row r="116" spans="1:4" x14ac:dyDescent="0.35">
      <c r="A116">
        <v>4</v>
      </c>
      <c r="B116">
        <v>0</v>
      </c>
      <c r="C116">
        <v>6.4105581000330796</v>
      </c>
      <c r="D116" t="str">
        <f t="shared" si="1"/>
        <v>pre</v>
      </c>
    </row>
    <row r="117" spans="1:4" x14ac:dyDescent="0.35">
      <c r="A117">
        <v>66</v>
      </c>
      <c r="B117">
        <v>0</v>
      </c>
      <c r="C117">
        <v>5.6056010000174803</v>
      </c>
      <c r="D117" t="str">
        <f t="shared" si="1"/>
        <v>pre</v>
      </c>
    </row>
    <row r="118" spans="1:4" x14ac:dyDescent="0.35">
      <c r="A118">
        <v>44</v>
      </c>
      <c r="B118">
        <v>1</v>
      </c>
      <c r="C118">
        <v>4.7559316999977401</v>
      </c>
      <c r="D118" t="str">
        <f t="shared" si="1"/>
        <v>pre</v>
      </c>
    </row>
    <row r="119" spans="1:4" x14ac:dyDescent="0.35">
      <c r="A119">
        <v>75</v>
      </c>
      <c r="B119">
        <v>0</v>
      </c>
      <c r="C119">
        <v>9.4204532000003294</v>
      </c>
      <c r="D119" t="str">
        <f t="shared" si="1"/>
        <v>pre</v>
      </c>
    </row>
    <row r="120" spans="1:4" x14ac:dyDescent="0.35">
      <c r="A120">
        <v>42</v>
      </c>
      <c r="B120">
        <v>1</v>
      </c>
      <c r="C120">
        <v>3.8117062000092101</v>
      </c>
      <c r="D120" t="str">
        <f t="shared" si="1"/>
        <v>pre</v>
      </c>
    </row>
    <row r="121" spans="1:4" x14ac:dyDescent="0.35">
      <c r="A121">
        <v>64</v>
      </c>
      <c r="B121">
        <v>0</v>
      </c>
      <c r="C121">
        <v>5.8493514999863603</v>
      </c>
      <c r="D121" t="str">
        <f t="shared" si="1"/>
        <v>pre</v>
      </c>
    </row>
    <row r="122" spans="1:4" x14ac:dyDescent="0.35">
      <c r="A122">
        <v>26</v>
      </c>
      <c r="B122">
        <v>0</v>
      </c>
      <c r="C122">
        <v>6.0489073000499003</v>
      </c>
      <c r="D122" t="str">
        <f t="shared" si="1"/>
        <v>pre</v>
      </c>
    </row>
    <row r="123" spans="1:4" x14ac:dyDescent="0.35">
      <c r="A123">
        <v>28</v>
      </c>
      <c r="B123">
        <v>0</v>
      </c>
      <c r="C123">
        <v>9.9650887000025197</v>
      </c>
      <c r="D123" t="str">
        <f t="shared" si="1"/>
        <v>pre</v>
      </c>
    </row>
    <row r="124" spans="1:4" x14ac:dyDescent="0.35">
      <c r="A124">
        <v>12</v>
      </c>
      <c r="B124">
        <v>1</v>
      </c>
      <c r="C124">
        <v>5.0154254999942998</v>
      </c>
      <c r="D124" t="str">
        <f t="shared" si="1"/>
        <v>pre</v>
      </c>
    </row>
    <row r="125" spans="1:4" x14ac:dyDescent="0.35">
      <c r="A125">
        <v>50</v>
      </c>
      <c r="B125">
        <v>1</v>
      </c>
      <c r="C125">
        <v>3.8423393999691999</v>
      </c>
      <c r="D125" t="str">
        <f t="shared" si="1"/>
        <v>pre</v>
      </c>
    </row>
    <row r="126" spans="1:4" x14ac:dyDescent="0.35">
      <c r="A126">
        <v>70</v>
      </c>
      <c r="B126">
        <v>0</v>
      </c>
      <c r="C126">
        <v>3.6772431000135799</v>
      </c>
      <c r="D126" t="str">
        <f t="shared" si="1"/>
        <v>pre</v>
      </c>
    </row>
    <row r="127" spans="1:4" x14ac:dyDescent="0.35">
      <c r="A127">
        <v>31</v>
      </c>
      <c r="B127">
        <v>0</v>
      </c>
      <c r="C127">
        <v>1.76720559998648</v>
      </c>
      <c r="D127" t="str">
        <f t="shared" si="1"/>
        <v>pre</v>
      </c>
    </row>
    <row r="128" spans="1:4" x14ac:dyDescent="0.35">
      <c r="A128">
        <v>80</v>
      </c>
      <c r="B128">
        <v>0</v>
      </c>
      <c r="C128">
        <v>4.3463991000317002</v>
      </c>
      <c r="D128" t="str">
        <f t="shared" si="1"/>
        <v>post</v>
      </c>
    </row>
    <row r="129" spans="1:4" x14ac:dyDescent="0.35">
      <c r="A129">
        <v>21</v>
      </c>
      <c r="B129">
        <v>0</v>
      </c>
      <c r="C129">
        <v>6.9861250999965696</v>
      </c>
      <c r="D129" t="str">
        <f t="shared" si="1"/>
        <v>pre</v>
      </c>
    </row>
    <row r="130" spans="1:4" x14ac:dyDescent="0.35">
      <c r="A130">
        <v>53</v>
      </c>
      <c r="B130">
        <v>0</v>
      </c>
      <c r="C130">
        <v>6.6499685000162501</v>
      </c>
      <c r="D130" t="str">
        <f t="shared" si="1"/>
        <v>pre</v>
      </c>
    </row>
    <row r="131" spans="1:4" x14ac:dyDescent="0.35">
      <c r="A131">
        <v>55</v>
      </c>
      <c r="B131">
        <v>0</v>
      </c>
      <c r="C131">
        <v>6.1771727000013898</v>
      </c>
      <c r="D131" t="str">
        <f t="shared" si="1"/>
        <v>pre</v>
      </c>
    </row>
    <row r="132" spans="1:4" x14ac:dyDescent="0.35">
      <c r="A132">
        <v>30</v>
      </c>
      <c r="B132">
        <v>1</v>
      </c>
      <c r="C132">
        <v>7.9047337999800202</v>
      </c>
      <c r="D132" t="str">
        <f t="shared" ref="D132:D162" si="2">IF(A132&lt;80,"pre","post")</f>
        <v>pre</v>
      </c>
    </row>
    <row r="133" spans="1:4" x14ac:dyDescent="0.35">
      <c r="A133">
        <v>29</v>
      </c>
      <c r="B133">
        <v>0</v>
      </c>
      <c r="C133">
        <v>4.8674455999862403</v>
      </c>
      <c r="D133" t="str">
        <f t="shared" si="2"/>
        <v>pre</v>
      </c>
    </row>
    <row r="134" spans="1:4" x14ac:dyDescent="0.35">
      <c r="A134">
        <v>79</v>
      </c>
      <c r="B134">
        <v>0</v>
      </c>
      <c r="C134">
        <v>6.8234792000148401</v>
      </c>
      <c r="D134" t="str">
        <f t="shared" si="2"/>
        <v>pre</v>
      </c>
    </row>
    <row r="135" spans="1:4" x14ac:dyDescent="0.35">
      <c r="A135">
        <v>52</v>
      </c>
      <c r="B135">
        <v>0</v>
      </c>
      <c r="C135">
        <v>2.2942962999804801</v>
      </c>
      <c r="D135" t="str">
        <f t="shared" si="2"/>
        <v>pre</v>
      </c>
    </row>
    <row r="136" spans="1:4" x14ac:dyDescent="0.35">
      <c r="A136">
        <v>68</v>
      </c>
      <c r="B136">
        <v>0</v>
      </c>
      <c r="C136">
        <v>2.4374457999947401</v>
      </c>
      <c r="D136" t="str">
        <f t="shared" si="2"/>
        <v>pre</v>
      </c>
    </row>
    <row r="137" spans="1:4" x14ac:dyDescent="0.35">
      <c r="A137">
        <v>71</v>
      </c>
      <c r="B137">
        <v>0</v>
      </c>
      <c r="C137">
        <v>5.1921055000275302</v>
      </c>
      <c r="D137" t="str">
        <f t="shared" si="2"/>
        <v>pre</v>
      </c>
    </row>
    <row r="138" spans="1:4" x14ac:dyDescent="0.35">
      <c r="A138">
        <v>72</v>
      </c>
      <c r="B138">
        <v>0</v>
      </c>
      <c r="C138">
        <v>2.1990485999849598</v>
      </c>
      <c r="D138" t="str">
        <f t="shared" si="2"/>
        <v>pre</v>
      </c>
    </row>
    <row r="139" spans="1:4" x14ac:dyDescent="0.35">
      <c r="A139">
        <v>5</v>
      </c>
      <c r="B139">
        <v>0</v>
      </c>
      <c r="C139">
        <v>3.0729915000265402</v>
      </c>
      <c r="D139" t="str">
        <f t="shared" si="2"/>
        <v>pre</v>
      </c>
    </row>
    <row r="140" spans="1:4" x14ac:dyDescent="0.35">
      <c r="A140">
        <v>61</v>
      </c>
      <c r="B140">
        <v>0</v>
      </c>
      <c r="C140">
        <v>6.2022832999937201</v>
      </c>
      <c r="D140" t="str">
        <f t="shared" si="2"/>
        <v>pre</v>
      </c>
    </row>
    <row r="141" spans="1:4" x14ac:dyDescent="0.35">
      <c r="A141">
        <v>23</v>
      </c>
      <c r="B141">
        <v>0</v>
      </c>
      <c r="C141">
        <v>4.4857663000002503</v>
      </c>
      <c r="D141" t="str">
        <f t="shared" si="2"/>
        <v>pre</v>
      </c>
    </row>
    <row r="142" spans="1:4" x14ac:dyDescent="0.35">
      <c r="A142">
        <v>60</v>
      </c>
      <c r="B142">
        <v>0</v>
      </c>
      <c r="C142">
        <v>4.4114492000080601</v>
      </c>
      <c r="D142" t="str">
        <f t="shared" si="2"/>
        <v>pre</v>
      </c>
    </row>
    <row r="143" spans="1:4" x14ac:dyDescent="0.35">
      <c r="A143">
        <v>32</v>
      </c>
      <c r="B143">
        <v>0</v>
      </c>
      <c r="C143">
        <v>4.5133890999713904</v>
      </c>
      <c r="D143" t="str">
        <f t="shared" si="2"/>
        <v>pre</v>
      </c>
    </row>
    <row r="144" spans="1:4" x14ac:dyDescent="0.35">
      <c r="A144">
        <v>37</v>
      </c>
      <c r="B144">
        <v>0</v>
      </c>
      <c r="C144">
        <v>5.2825187999987904</v>
      </c>
      <c r="D144" t="str">
        <f t="shared" si="2"/>
        <v>pre</v>
      </c>
    </row>
    <row r="145" spans="1:4" x14ac:dyDescent="0.35">
      <c r="A145">
        <v>35</v>
      </c>
      <c r="B145">
        <v>0</v>
      </c>
      <c r="C145">
        <v>1.5705934000434301</v>
      </c>
      <c r="D145" t="str">
        <f t="shared" si="2"/>
        <v>pre</v>
      </c>
    </row>
    <row r="146" spans="1:4" x14ac:dyDescent="0.35">
      <c r="A146">
        <v>39</v>
      </c>
      <c r="B146">
        <v>1</v>
      </c>
      <c r="C146">
        <v>1.76103490003151</v>
      </c>
      <c r="D146" t="str">
        <f t="shared" si="2"/>
        <v>pre</v>
      </c>
    </row>
    <row r="147" spans="1:4" x14ac:dyDescent="0.35">
      <c r="A147">
        <v>16</v>
      </c>
      <c r="B147">
        <v>1</v>
      </c>
      <c r="C147">
        <v>1.39213849999941</v>
      </c>
      <c r="D147" t="str">
        <f t="shared" si="2"/>
        <v>pre</v>
      </c>
    </row>
    <row r="148" spans="1:4" x14ac:dyDescent="0.35">
      <c r="A148">
        <v>2</v>
      </c>
      <c r="B148">
        <v>1</v>
      </c>
      <c r="C148">
        <v>1.60973580001154</v>
      </c>
      <c r="D148" t="str">
        <f t="shared" si="2"/>
        <v>pre</v>
      </c>
    </row>
    <row r="149" spans="1:4" x14ac:dyDescent="0.35">
      <c r="A149">
        <v>41</v>
      </c>
      <c r="B149">
        <v>0</v>
      </c>
      <c r="C149">
        <v>1.3987605000147501</v>
      </c>
      <c r="D149" t="str">
        <f t="shared" si="2"/>
        <v>pre</v>
      </c>
    </row>
    <row r="150" spans="1:4" x14ac:dyDescent="0.35">
      <c r="A150">
        <v>57</v>
      </c>
      <c r="B150">
        <v>0</v>
      </c>
      <c r="C150">
        <v>2.3309765000012699</v>
      </c>
      <c r="D150" t="str">
        <f t="shared" si="2"/>
        <v>pre</v>
      </c>
    </row>
    <row r="151" spans="1:4" x14ac:dyDescent="0.35">
      <c r="A151">
        <v>73</v>
      </c>
      <c r="B151">
        <v>0</v>
      </c>
      <c r="C151">
        <v>2.8050309999962302</v>
      </c>
      <c r="D151" t="str">
        <f t="shared" si="2"/>
        <v>pre</v>
      </c>
    </row>
    <row r="152" spans="1:4" x14ac:dyDescent="0.35">
      <c r="A152">
        <v>14</v>
      </c>
      <c r="B152">
        <v>0</v>
      </c>
      <c r="C152">
        <v>1.4798780999844801</v>
      </c>
      <c r="D152" t="str">
        <f t="shared" si="2"/>
        <v>pre</v>
      </c>
    </row>
    <row r="153" spans="1:4" x14ac:dyDescent="0.35">
      <c r="A153">
        <v>33</v>
      </c>
      <c r="B153">
        <v>0</v>
      </c>
      <c r="C153">
        <v>1.7452011000132099</v>
      </c>
      <c r="D153" t="str">
        <f t="shared" si="2"/>
        <v>pre</v>
      </c>
    </row>
    <row r="154" spans="1:4" x14ac:dyDescent="0.35">
      <c r="A154">
        <v>74</v>
      </c>
      <c r="B154">
        <v>0</v>
      </c>
      <c r="C154">
        <v>1.612168200023</v>
      </c>
      <c r="D154" t="str">
        <f t="shared" si="2"/>
        <v>pre</v>
      </c>
    </row>
    <row r="155" spans="1:4" x14ac:dyDescent="0.35">
      <c r="A155">
        <v>54</v>
      </c>
      <c r="B155">
        <v>0</v>
      </c>
      <c r="C155">
        <v>1.4282258000457599</v>
      </c>
      <c r="D155" t="str">
        <f t="shared" si="2"/>
        <v>pre</v>
      </c>
    </row>
    <row r="156" spans="1:4" x14ac:dyDescent="0.35">
      <c r="A156">
        <v>18</v>
      </c>
      <c r="B156">
        <v>0</v>
      </c>
      <c r="C156">
        <v>1.64578799996525</v>
      </c>
      <c r="D156" t="str">
        <f t="shared" si="2"/>
        <v>pre</v>
      </c>
    </row>
    <row r="157" spans="1:4" x14ac:dyDescent="0.35">
      <c r="A157">
        <v>78</v>
      </c>
      <c r="B157">
        <v>0</v>
      </c>
      <c r="C157">
        <v>1.44251650001388</v>
      </c>
      <c r="D157" t="str">
        <f t="shared" si="2"/>
        <v>pre</v>
      </c>
    </row>
    <row r="158" spans="1:4" x14ac:dyDescent="0.35">
      <c r="A158">
        <v>47</v>
      </c>
      <c r="B158">
        <v>0</v>
      </c>
      <c r="C158">
        <v>2.1555020000087</v>
      </c>
      <c r="D158" t="str">
        <f t="shared" si="2"/>
        <v>pre</v>
      </c>
    </row>
    <row r="159" spans="1:4" x14ac:dyDescent="0.35">
      <c r="A159">
        <v>49</v>
      </c>
      <c r="B159">
        <v>0</v>
      </c>
      <c r="C159">
        <v>1.6771580000058699</v>
      </c>
      <c r="D159" t="str">
        <f t="shared" si="2"/>
        <v>pre</v>
      </c>
    </row>
    <row r="160" spans="1:4" x14ac:dyDescent="0.35">
      <c r="A160">
        <v>77</v>
      </c>
      <c r="B160">
        <v>1</v>
      </c>
      <c r="C160">
        <v>1.5815780999837401</v>
      </c>
      <c r="D160" t="str">
        <f t="shared" si="2"/>
        <v>pre</v>
      </c>
    </row>
    <row r="161" spans="1:4" x14ac:dyDescent="0.35">
      <c r="A161">
        <v>76</v>
      </c>
      <c r="B161">
        <v>0</v>
      </c>
      <c r="C161">
        <v>1.5646539000444999</v>
      </c>
      <c r="D161" t="str">
        <f t="shared" si="2"/>
        <v>pre</v>
      </c>
    </row>
    <row r="162" spans="1:4" x14ac:dyDescent="0.35">
      <c r="A162">
        <v>6</v>
      </c>
      <c r="B162">
        <v>0</v>
      </c>
      <c r="C162">
        <v>1.67437029996654</v>
      </c>
      <c r="D162" t="str">
        <f t="shared" si="2"/>
        <v>pre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8C6B-2D52-4DBC-BB95-983921E80728}">
  <dimension ref="A1:F162"/>
  <sheetViews>
    <sheetView workbookViewId="0">
      <selection activeCell="G3" sqref="G3"/>
    </sheetView>
  </sheetViews>
  <sheetFormatPr defaultRowHeight="14.5" x14ac:dyDescent="0.35"/>
  <cols>
    <col min="4" max="4" width="10.6328125" customWidth="1"/>
    <col min="5" max="5" width="13.7265625" customWidth="1"/>
    <col min="6" max="6" width="12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3" spans="1:6" x14ac:dyDescent="0.35">
      <c r="A3">
        <v>39</v>
      </c>
      <c r="B3">
        <v>1</v>
      </c>
      <c r="C3">
        <v>2.29596379998838</v>
      </c>
      <c r="D3" t="str">
        <f>IF(A3&lt;80,"pre","post")</f>
        <v>pre</v>
      </c>
      <c r="E3" t="s">
        <v>4</v>
      </c>
      <c r="F3">
        <f>AVERAGEIF(D:D,"pre",C:C)</f>
        <v>1.7169720126604011</v>
      </c>
    </row>
    <row r="4" spans="1:6" x14ac:dyDescent="0.35">
      <c r="A4">
        <v>53</v>
      </c>
      <c r="B4">
        <v>0</v>
      </c>
      <c r="C4">
        <v>1.63333049998618</v>
      </c>
      <c r="D4" t="str">
        <f t="shared" ref="D4:D67" si="0">IF(A4&lt;80,"pre","post")</f>
        <v>pre</v>
      </c>
      <c r="E4" t="s">
        <v>5</v>
      </c>
      <c r="F4">
        <f>AVERAGEIF(D:D,"post",C:C)</f>
        <v>1.501059100031845</v>
      </c>
    </row>
    <row r="5" spans="1:6" x14ac:dyDescent="0.35">
      <c r="A5">
        <v>7</v>
      </c>
      <c r="B5">
        <v>0</v>
      </c>
      <c r="C5">
        <v>1.52572519995737</v>
      </c>
      <c r="D5" t="str">
        <f t="shared" si="0"/>
        <v>pre</v>
      </c>
    </row>
    <row r="6" spans="1:6" x14ac:dyDescent="0.35">
      <c r="A6">
        <v>46</v>
      </c>
      <c r="B6">
        <v>0</v>
      </c>
      <c r="C6">
        <v>1.4740996999898901</v>
      </c>
      <c r="D6" t="str">
        <f t="shared" si="0"/>
        <v>pre</v>
      </c>
      <c r="E6" t="s">
        <v>6</v>
      </c>
      <c r="F6">
        <f>1-AVERAGEIF(D:D,"pre",B:B)</f>
        <v>0.78481012658227844</v>
      </c>
    </row>
    <row r="7" spans="1:6" x14ac:dyDescent="0.35">
      <c r="A7">
        <v>34</v>
      </c>
      <c r="B7">
        <v>0</v>
      </c>
      <c r="C7">
        <v>1.3572567999945</v>
      </c>
      <c r="D7" t="str">
        <f t="shared" si="0"/>
        <v>pre</v>
      </c>
      <c r="E7" t="s">
        <v>7</v>
      </c>
      <c r="F7">
        <f>1-AVERAGEIF(D:D,"post",B:B)</f>
        <v>1</v>
      </c>
    </row>
    <row r="8" spans="1:6" x14ac:dyDescent="0.35">
      <c r="A8">
        <v>79</v>
      </c>
      <c r="B8">
        <v>0</v>
      </c>
      <c r="C8">
        <v>1.4135056000086399</v>
      </c>
      <c r="D8" t="str">
        <f t="shared" si="0"/>
        <v>pre</v>
      </c>
    </row>
    <row r="9" spans="1:6" x14ac:dyDescent="0.35">
      <c r="A9">
        <v>69</v>
      </c>
      <c r="B9">
        <v>0</v>
      </c>
      <c r="C9">
        <v>1.9523668999900099</v>
      </c>
      <c r="D9" t="str">
        <f t="shared" si="0"/>
        <v>pre</v>
      </c>
    </row>
    <row r="10" spans="1:6" x14ac:dyDescent="0.35">
      <c r="A10">
        <v>22</v>
      </c>
      <c r="B10">
        <v>0</v>
      </c>
      <c r="C10">
        <v>1.4998037999612199</v>
      </c>
      <c r="D10" t="str">
        <f t="shared" si="0"/>
        <v>pre</v>
      </c>
    </row>
    <row r="11" spans="1:6" x14ac:dyDescent="0.35">
      <c r="A11">
        <v>38</v>
      </c>
      <c r="B11">
        <v>1</v>
      </c>
      <c r="C11">
        <v>1.67418380000162</v>
      </c>
      <c r="D11" t="str">
        <f t="shared" si="0"/>
        <v>pre</v>
      </c>
    </row>
    <row r="12" spans="1:6" x14ac:dyDescent="0.35">
      <c r="A12">
        <v>28</v>
      </c>
      <c r="B12">
        <v>0</v>
      </c>
      <c r="C12">
        <v>1.6389010999700899</v>
      </c>
      <c r="D12" t="str">
        <f t="shared" si="0"/>
        <v>pre</v>
      </c>
    </row>
    <row r="13" spans="1:6" x14ac:dyDescent="0.35">
      <c r="A13">
        <v>62</v>
      </c>
      <c r="B13">
        <v>0</v>
      </c>
      <c r="C13">
        <v>1.80280440003843</v>
      </c>
      <c r="D13" t="str">
        <f t="shared" si="0"/>
        <v>pre</v>
      </c>
    </row>
    <row r="14" spans="1:6" x14ac:dyDescent="0.35">
      <c r="A14">
        <v>2</v>
      </c>
      <c r="B14">
        <v>1</v>
      </c>
      <c r="C14">
        <v>1.8244045000174001</v>
      </c>
      <c r="D14" t="str">
        <f t="shared" si="0"/>
        <v>pre</v>
      </c>
    </row>
    <row r="15" spans="1:6" x14ac:dyDescent="0.35">
      <c r="A15">
        <v>56</v>
      </c>
      <c r="B15">
        <v>0</v>
      </c>
      <c r="C15">
        <v>2.12583570001879</v>
      </c>
      <c r="D15" t="str">
        <f t="shared" si="0"/>
        <v>pre</v>
      </c>
    </row>
    <row r="16" spans="1:6" x14ac:dyDescent="0.35">
      <c r="A16">
        <v>19</v>
      </c>
      <c r="B16">
        <v>0</v>
      </c>
      <c r="C16">
        <v>1.61349919997155</v>
      </c>
      <c r="D16" t="str">
        <f t="shared" si="0"/>
        <v>pre</v>
      </c>
    </row>
    <row r="17" spans="1:4" x14ac:dyDescent="0.35">
      <c r="A17">
        <v>61</v>
      </c>
      <c r="B17">
        <v>0</v>
      </c>
      <c r="C17">
        <v>2.0214793999912199</v>
      </c>
      <c r="D17" t="str">
        <f t="shared" si="0"/>
        <v>pre</v>
      </c>
    </row>
    <row r="18" spans="1:4" x14ac:dyDescent="0.35">
      <c r="A18">
        <v>45</v>
      </c>
      <c r="B18">
        <v>1</v>
      </c>
      <c r="C18">
        <v>1.4859031999949299</v>
      </c>
      <c r="D18" t="str">
        <f t="shared" si="0"/>
        <v>pre</v>
      </c>
    </row>
    <row r="19" spans="1:4" x14ac:dyDescent="0.35">
      <c r="A19">
        <v>41</v>
      </c>
      <c r="B19">
        <v>0</v>
      </c>
      <c r="C19">
        <v>1.68925039999885</v>
      </c>
      <c r="D19" t="str">
        <f t="shared" si="0"/>
        <v>pre</v>
      </c>
    </row>
    <row r="20" spans="1:4" x14ac:dyDescent="0.35">
      <c r="A20">
        <v>12</v>
      </c>
      <c r="B20">
        <v>1</v>
      </c>
      <c r="C20">
        <v>1.5038559000240601</v>
      </c>
      <c r="D20" t="str">
        <f t="shared" si="0"/>
        <v>pre</v>
      </c>
    </row>
    <row r="21" spans="1:4" x14ac:dyDescent="0.35">
      <c r="A21">
        <v>32</v>
      </c>
      <c r="B21">
        <v>0</v>
      </c>
      <c r="C21">
        <v>1.7593113000039</v>
      </c>
      <c r="D21" t="str">
        <f t="shared" si="0"/>
        <v>pre</v>
      </c>
    </row>
    <row r="22" spans="1:4" x14ac:dyDescent="0.35">
      <c r="A22">
        <v>65</v>
      </c>
      <c r="B22">
        <v>0</v>
      </c>
      <c r="C22">
        <v>1.6562710000434799</v>
      </c>
      <c r="D22" t="str">
        <f t="shared" si="0"/>
        <v>pre</v>
      </c>
    </row>
    <row r="23" spans="1:4" x14ac:dyDescent="0.35">
      <c r="A23">
        <v>24</v>
      </c>
      <c r="B23">
        <v>0</v>
      </c>
      <c r="C23">
        <v>1.6407084000529699</v>
      </c>
      <c r="D23" t="str">
        <f t="shared" si="0"/>
        <v>pre</v>
      </c>
    </row>
    <row r="24" spans="1:4" x14ac:dyDescent="0.35">
      <c r="A24">
        <v>14</v>
      </c>
      <c r="B24">
        <v>0</v>
      </c>
      <c r="C24">
        <v>1.4054254999500699</v>
      </c>
      <c r="D24" t="str">
        <f t="shared" si="0"/>
        <v>pre</v>
      </c>
    </row>
    <row r="25" spans="1:4" x14ac:dyDescent="0.35">
      <c r="A25">
        <v>21</v>
      </c>
      <c r="B25">
        <v>0</v>
      </c>
      <c r="C25">
        <v>1.4674592000083</v>
      </c>
      <c r="D25" t="str">
        <f t="shared" si="0"/>
        <v>pre</v>
      </c>
    </row>
    <row r="26" spans="1:4" x14ac:dyDescent="0.35">
      <c r="A26">
        <v>30</v>
      </c>
      <c r="B26">
        <v>1</v>
      </c>
      <c r="C26">
        <v>1.6238114000298001</v>
      </c>
      <c r="D26" t="str">
        <f t="shared" si="0"/>
        <v>pre</v>
      </c>
    </row>
    <row r="27" spans="1:4" x14ac:dyDescent="0.35">
      <c r="A27">
        <v>51</v>
      </c>
      <c r="B27">
        <v>0</v>
      </c>
      <c r="C27">
        <v>1.76404889998957</v>
      </c>
      <c r="D27" t="str">
        <f t="shared" si="0"/>
        <v>pre</v>
      </c>
    </row>
    <row r="28" spans="1:4" x14ac:dyDescent="0.35">
      <c r="A28">
        <v>8</v>
      </c>
      <c r="B28">
        <v>0</v>
      </c>
      <c r="C28">
        <v>1.6958077999879599</v>
      </c>
      <c r="D28" t="str">
        <f t="shared" si="0"/>
        <v>pre</v>
      </c>
    </row>
    <row r="29" spans="1:4" x14ac:dyDescent="0.35">
      <c r="A29">
        <v>37</v>
      </c>
      <c r="B29">
        <v>0</v>
      </c>
      <c r="C29">
        <v>1.40786620002472</v>
      </c>
      <c r="D29" t="str">
        <f t="shared" si="0"/>
        <v>pre</v>
      </c>
    </row>
    <row r="30" spans="1:4" x14ac:dyDescent="0.35">
      <c r="A30">
        <v>68</v>
      </c>
      <c r="B30">
        <v>0</v>
      </c>
      <c r="C30">
        <v>1.5824170000269</v>
      </c>
      <c r="D30" t="str">
        <f t="shared" si="0"/>
        <v>pre</v>
      </c>
    </row>
    <row r="31" spans="1:4" x14ac:dyDescent="0.35">
      <c r="A31">
        <v>52</v>
      </c>
      <c r="B31">
        <v>0</v>
      </c>
      <c r="C31">
        <v>1.58451469999272</v>
      </c>
      <c r="D31" t="str">
        <f t="shared" si="0"/>
        <v>pre</v>
      </c>
    </row>
    <row r="32" spans="1:4" x14ac:dyDescent="0.35">
      <c r="A32">
        <v>26</v>
      </c>
      <c r="B32">
        <v>0</v>
      </c>
      <c r="C32">
        <v>1.4411395000061</v>
      </c>
      <c r="D32" t="str">
        <f t="shared" si="0"/>
        <v>pre</v>
      </c>
    </row>
    <row r="33" spans="1:4" x14ac:dyDescent="0.35">
      <c r="A33">
        <v>60</v>
      </c>
      <c r="B33">
        <v>0</v>
      </c>
      <c r="C33">
        <v>1.4790708000073201</v>
      </c>
      <c r="D33" t="str">
        <f t="shared" si="0"/>
        <v>pre</v>
      </c>
    </row>
    <row r="34" spans="1:4" x14ac:dyDescent="0.35">
      <c r="A34">
        <v>5</v>
      </c>
      <c r="B34">
        <v>0</v>
      </c>
      <c r="C34">
        <v>1.5315416999510401</v>
      </c>
      <c r="D34" t="str">
        <f t="shared" si="0"/>
        <v>pre</v>
      </c>
    </row>
    <row r="35" spans="1:4" x14ac:dyDescent="0.35">
      <c r="A35">
        <v>47</v>
      </c>
      <c r="B35">
        <v>0</v>
      </c>
      <c r="C35">
        <v>1.4746723999851299</v>
      </c>
      <c r="D35" t="str">
        <f t="shared" si="0"/>
        <v>pre</v>
      </c>
    </row>
    <row r="36" spans="1:4" x14ac:dyDescent="0.35">
      <c r="A36">
        <v>33</v>
      </c>
      <c r="B36">
        <v>0</v>
      </c>
      <c r="C36">
        <v>1.6597158000222401</v>
      </c>
      <c r="D36" t="str">
        <f t="shared" si="0"/>
        <v>pre</v>
      </c>
    </row>
    <row r="37" spans="1:4" x14ac:dyDescent="0.35">
      <c r="A37">
        <v>11</v>
      </c>
      <c r="B37">
        <v>0</v>
      </c>
      <c r="C37">
        <v>1.5765532999648699</v>
      </c>
      <c r="D37" t="str">
        <f t="shared" si="0"/>
        <v>pre</v>
      </c>
    </row>
    <row r="38" spans="1:4" x14ac:dyDescent="0.35">
      <c r="A38">
        <v>18</v>
      </c>
      <c r="B38">
        <v>0</v>
      </c>
      <c r="C38">
        <v>1.5107390999910399</v>
      </c>
      <c r="D38" t="str">
        <f t="shared" si="0"/>
        <v>pre</v>
      </c>
    </row>
    <row r="39" spans="1:4" x14ac:dyDescent="0.35">
      <c r="A39">
        <v>57</v>
      </c>
      <c r="B39">
        <v>0</v>
      </c>
      <c r="C39">
        <v>1.7257966000470299</v>
      </c>
      <c r="D39" t="str">
        <f t="shared" si="0"/>
        <v>pre</v>
      </c>
    </row>
    <row r="40" spans="1:4" x14ac:dyDescent="0.35">
      <c r="A40">
        <v>16</v>
      </c>
      <c r="B40">
        <v>1</v>
      </c>
      <c r="C40">
        <v>1.44501100003253</v>
      </c>
      <c r="D40" t="str">
        <f t="shared" si="0"/>
        <v>pre</v>
      </c>
    </row>
    <row r="41" spans="1:4" x14ac:dyDescent="0.35">
      <c r="A41">
        <v>31</v>
      </c>
      <c r="B41">
        <v>0</v>
      </c>
      <c r="C41">
        <v>1.47501080000074</v>
      </c>
      <c r="D41" t="str">
        <f t="shared" si="0"/>
        <v>pre</v>
      </c>
    </row>
    <row r="42" spans="1:4" x14ac:dyDescent="0.35">
      <c r="A42">
        <v>13</v>
      </c>
      <c r="B42">
        <v>1</v>
      </c>
      <c r="C42">
        <v>1.39510660001542</v>
      </c>
      <c r="D42" t="str">
        <f t="shared" si="0"/>
        <v>pre</v>
      </c>
    </row>
    <row r="43" spans="1:4" x14ac:dyDescent="0.35">
      <c r="A43">
        <v>76</v>
      </c>
      <c r="B43">
        <v>0</v>
      </c>
      <c r="C43">
        <v>1.6740160000044799</v>
      </c>
      <c r="D43" t="str">
        <f t="shared" si="0"/>
        <v>pre</v>
      </c>
    </row>
    <row r="44" spans="1:4" x14ac:dyDescent="0.35">
      <c r="A44">
        <v>80</v>
      </c>
      <c r="B44">
        <v>0</v>
      </c>
      <c r="C44">
        <v>1.5011885000276299</v>
      </c>
      <c r="D44" t="str">
        <f t="shared" si="0"/>
        <v>post</v>
      </c>
    </row>
    <row r="45" spans="1:4" x14ac:dyDescent="0.35">
      <c r="A45">
        <v>49</v>
      </c>
      <c r="B45">
        <v>0</v>
      </c>
      <c r="C45">
        <v>1.43679089995566</v>
      </c>
      <c r="D45" t="str">
        <f t="shared" si="0"/>
        <v>pre</v>
      </c>
    </row>
    <row r="46" spans="1:4" x14ac:dyDescent="0.35">
      <c r="A46">
        <v>75</v>
      </c>
      <c r="B46">
        <v>0</v>
      </c>
      <c r="C46">
        <v>1.48441789997741</v>
      </c>
      <c r="D46" t="str">
        <f t="shared" si="0"/>
        <v>pre</v>
      </c>
    </row>
    <row r="47" spans="1:4" x14ac:dyDescent="0.35">
      <c r="A47">
        <v>42</v>
      </c>
      <c r="B47">
        <v>1</v>
      </c>
      <c r="C47">
        <v>1.51452520000748</v>
      </c>
      <c r="D47" t="str">
        <f t="shared" si="0"/>
        <v>pre</v>
      </c>
    </row>
    <row r="48" spans="1:4" x14ac:dyDescent="0.35">
      <c r="A48">
        <v>20</v>
      </c>
      <c r="B48">
        <v>1</v>
      </c>
      <c r="C48">
        <v>1.38870950002456</v>
      </c>
      <c r="D48" t="str">
        <f t="shared" si="0"/>
        <v>pre</v>
      </c>
    </row>
    <row r="49" spans="1:4" x14ac:dyDescent="0.35">
      <c r="A49">
        <v>59</v>
      </c>
      <c r="B49">
        <v>0</v>
      </c>
      <c r="C49">
        <v>1.3844920000410601</v>
      </c>
      <c r="D49" t="str">
        <f t="shared" si="0"/>
        <v>pre</v>
      </c>
    </row>
    <row r="50" spans="1:4" x14ac:dyDescent="0.35">
      <c r="A50">
        <v>36</v>
      </c>
      <c r="B50">
        <v>0</v>
      </c>
      <c r="C50">
        <v>1.50258730002678</v>
      </c>
      <c r="D50" t="str">
        <f t="shared" si="0"/>
        <v>pre</v>
      </c>
    </row>
    <row r="51" spans="1:4" x14ac:dyDescent="0.35">
      <c r="A51">
        <v>43</v>
      </c>
      <c r="B51">
        <v>0</v>
      </c>
      <c r="C51">
        <v>1.32852820004336</v>
      </c>
      <c r="D51" t="str">
        <f t="shared" si="0"/>
        <v>pre</v>
      </c>
    </row>
    <row r="52" spans="1:4" x14ac:dyDescent="0.35">
      <c r="A52">
        <v>40</v>
      </c>
      <c r="B52">
        <v>0</v>
      </c>
      <c r="C52">
        <v>1.5787386999581901</v>
      </c>
      <c r="D52" t="str">
        <f t="shared" si="0"/>
        <v>pre</v>
      </c>
    </row>
    <row r="53" spans="1:4" x14ac:dyDescent="0.35">
      <c r="A53">
        <v>77</v>
      </c>
      <c r="B53">
        <v>1</v>
      </c>
      <c r="C53">
        <v>1.48328649997711</v>
      </c>
      <c r="D53" t="str">
        <f t="shared" si="0"/>
        <v>pre</v>
      </c>
    </row>
    <row r="54" spans="1:4" x14ac:dyDescent="0.35">
      <c r="A54">
        <v>27</v>
      </c>
      <c r="B54">
        <v>1</v>
      </c>
      <c r="C54">
        <v>2.0908055999898298</v>
      </c>
      <c r="D54" t="str">
        <f t="shared" si="0"/>
        <v>pre</v>
      </c>
    </row>
    <row r="55" spans="1:4" x14ac:dyDescent="0.35">
      <c r="A55">
        <v>66</v>
      </c>
      <c r="B55">
        <v>0</v>
      </c>
      <c r="C55">
        <v>1.4318637999822299</v>
      </c>
      <c r="D55" t="str">
        <f t="shared" si="0"/>
        <v>pre</v>
      </c>
    </row>
    <row r="56" spans="1:4" x14ac:dyDescent="0.35">
      <c r="A56">
        <v>44</v>
      </c>
      <c r="B56">
        <v>1</v>
      </c>
      <c r="C56">
        <v>1.5132108999532601</v>
      </c>
      <c r="D56" t="str">
        <f t="shared" si="0"/>
        <v>pre</v>
      </c>
    </row>
    <row r="57" spans="1:4" x14ac:dyDescent="0.35">
      <c r="A57">
        <v>10</v>
      </c>
      <c r="B57">
        <v>0</v>
      </c>
      <c r="C57">
        <v>1.67831220000516</v>
      </c>
      <c r="D57" t="str">
        <f t="shared" si="0"/>
        <v>pre</v>
      </c>
    </row>
    <row r="58" spans="1:4" x14ac:dyDescent="0.35">
      <c r="A58">
        <v>15</v>
      </c>
      <c r="B58">
        <v>0</v>
      </c>
      <c r="C58">
        <v>1.53812530002323</v>
      </c>
      <c r="D58" t="str">
        <f t="shared" si="0"/>
        <v>pre</v>
      </c>
    </row>
    <row r="59" spans="1:4" x14ac:dyDescent="0.35">
      <c r="A59">
        <v>64</v>
      </c>
      <c r="B59">
        <v>0</v>
      </c>
      <c r="C59">
        <v>1.59797709999838</v>
      </c>
      <c r="D59" t="str">
        <f t="shared" si="0"/>
        <v>pre</v>
      </c>
    </row>
    <row r="60" spans="1:4" x14ac:dyDescent="0.35">
      <c r="A60">
        <v>78</v>
      </c>
      <c r="B60">
        <v>0</v>
      </c>
      <c r="C60">
        <v>1.41911529999924</v>
      </c>
      <c r="D60" t="str">
        <f t="shared" si="0"/>
        <v>pre</v>
      </c>
    </row>
    <row r="61" spans="1:4" x14ac:dyDescent="0.35">
      <c r="A61">
        <v>25</v>
      </c>
      <c r="B61">
        <v>1</v>
      </c>
      <c r="C61">
        <v>2.1681025000288998</v>
      </c>
      <c r="D61" t="str">
        <f t="shared" si="0"/>
        <v>pre</v>
      </c>
    </row>
    <row r="62" spans="1:4" x14ac:dyDescent="0.35">
      <c r="A62">
        <v>29</v>
      </c>
      <c r="B62">
        <v>0</v>
      </c>
      <c r="C62">
        <v>1.62748039996949</v>
      </c>
      <c r="D62" t="str">
        <f t="shared" si="0"/>
        <v>pre</v>
      </c>
    </row>
    <row r="63" spans="1:4" x14ac:dyDescent="0.35">
      <c r="A63">
        <v>54</v>
      </c>
      <c r="B63">
        <v>0</v>
      </c>
      <c r="C63">
        <v>1.4564433000050401</v>
      </c>
      <c r="D63" t="str">
        <f t="shared" si="0"/>
        <v>pre</v>
      </c>
    </row>
    <row r="64" spans="1:4" x14ac:dyDescent="0.35">
      <c r="A64">
        <v>58</v>
      </c>
      <c r="B64">
        <v>0</v>
      </c>
      <c r="C64">
        <v>1.73295109998434</v>
      </c>
      <c r="D64" t="str">
        <f t="shared" si="0"/>
        <v>pre</v>
      </c>
    </row>
    <row r="65" spans="1:4" x14ac:dyDescent="0.35">
      <c r="A65">
        <v>48</v>
      </c>
      <c r="B65">
        <v>0</v>
      </c>
      <c r="C65">
        <v>1.40157549997093</v>
      </c>
      <c r="D65" t="str">
        <f t="shared" si="0"/>
        <v>pre</v>
      </c>
    </row>
    <row r="66" spans="1:4" x14ac:dyDescent="0.35">
      <c r="A66">
        <v>50</v>
      </c>
      <c r="B66">
        <v>1</v>
      </c>
      <c r="C66">
        <v>1.6331894000177201</v>
      </c>
      <c r="D66" t="str">
        <f t="shared" si="0"/>
        <v>pre</v>
      </c>
    </row>
    <row r="67" spans="1:4" x14ac:dyDescent="0.35">
      <c r="A67">
        <v>55</v>
      </c>
      <c r="B67">
        <v>0</v>
      </c>
      <c r="C67">
        <v>1.5486995000392101</v>
      </c>
      <c r="D67" t="str">
        <f t="shared" si="0"/>
        <v>pre</v>
      </c>
    </row>
    <row r="68" spans="1:4" x14ac:dyDescent="0.35">
      <c r="A68">
        <v>35</v>
      </c>
      <c r="B68">
        <v>0</v>
      </c>
      <c r="C68">
        <v>1.4567465999862099</v>
      </c>
      <c r="D68" t="str">
        <f t="shared" ref="D68:D131" si="1">IF(A68&lt;80,"pre","post")</f>
        <v>pre</v>
      </c>
    </row>
    <row r="69" spans="1:4" x14ac:dyDescent="0.35">
      <c r="A69">
        <v>63</v>
      </c>
      <c r="B69">
        <v>0</v>
      </c>
      <c r="C69">
        <v>1.4097294999519301</v>
      </c>
      <c r="D69" t="str">
        <f t="shared" si="1"/>
        <v>pre</v>
      </c>
    </row>
    <row r="70" spans="1:4" x14ac:dyDescent="0.35">
      <c r="A70">
        <v>67</v>
      </c>
      <c r="B70">
        <v>1</v>
      </c>
      <c r="C70">
        <v>1.78787639999063</v>
      </c>
      <c r="D70" t="str">
        <f t="shared" si="1"/>
        <v>pre</v>
      </c>
    </row>
    <row r="71" spans="1:4" x14ac:dyDescent="0.35">
      <c r="A71">
        <v>23</v>
      </c>
      <c r="B71">
        <v>0</v>
      </c>
      <c r="C71">
        <v>2.4954431999940399</v>
      </c>
      <c r="D71" t="str">
        <f t="shared" si="1"/>
        <v>pre</v>
      </c>
    </row>
    <row r="72" spans="1:4" x14ac:dyDescent="0.35">
      <c r="A72">
        <v>9</v>
      </c>
      <c r="B72">
        <v>1</v>
      </c>
      <c r="C72">
        <v>1.4647362999967299</v>
      </c>
      <c r="D72" t="str">
        <f t="shared" si="1"/>
        <v>pre</v>
      </c>
    </row>
    <row r="73" spans="1:4" x14ac:dyDescent="0.35">
      <c r="A73">
        <v>4</v>
      </c>
      <c r="B73">
        <v>0</v>
      </c>
      <c r="C73">
        <v>2.1269125000107998</v>
      </c>
      <c r="D73" t="str">
        <f t="shared" si="1"/>
        <v>pre</v>
      </c>
    </row>
    <row r="74" spans="1:4" x14ac:dyDescent="0.35">
      <c r="A74">
        <v>1</v>
      </c>
      <c r="B74">
        <v>0</v>
      </c>
      <c r="C74">
        <v>1.4345368000212999</v>
      </c>
      <c r="D74" t="str">
        <f t="shared" si="1"/>
        <v>pre</v>
      </c>
    </row>
    <row r="75" spans="1:4" x14ac:dyDescent="0.35">
      <c r="A75">
        <v>74</v>
      </c>
      <c r="B75">
        <v>0</v>
      </c>
      <c r="C75">
        <v>1.8589683999889499</v>
      </c>
      <c r="D75" t="str">
        <f t="shared" si="1"/>
        <v>pre</v>
      </c>
    </row>
    <row r="76" spans="1:4" x14ac:dyDescent="0.35">
      <c r="A76">
        <v>73</v>
      </c>
      <c r="B76">
        <v>0</v>
      </c>
      <c r="C76">
        <v>1.7598278999794199</v>
      </c>
      <c r="D76" t="str">
        <f t="shared" si="1"/>
        <v>pre</v>
      </c>
    </row>
    <row r="77" spans="1:4" x14ac:dyDescent="0.35">
      <c r="A77">
        <v>6</v>
      </c>
      <c r="B77">
        <v>0</v>
      </c>
      <c r="C77">
        <v>1.5111443999921901</v>
      </c>
      <c r="D77" t="str">
        <f t="shared" si="1"/>
        <v>pre</v>
      </c>
    </row>
    <row r="78" spans="1:4" x14ac:dyDescent="0.35">
      <c r="A78">
        <v>17</v>
      </c>
      <c r="B78">
        <v>0</v>
      </c>
      <c r="C78">
        <v>1.76418479997664</v>
      </c>
      <c r="D78" t="str">
        <f t="shared" si="1"/>
        <v>pre</v>
      </c>
    </row>
    <row r="79" spans="1:4" x14ac:dyDescent="0.35">
      <c r="A79">
        <v>70</v>
      </c>
      <c r="B79">
        <v>0</v>
      </c>
      <c r="C79">
        <v>1.4067692999960799</v>
      </c>
      <c r="D79" t="str">
        <f t="shared" si="1"/>
        <v>pre</v>
      </c>
    </row>
    <row r="80" spans="1:4" x14ac:dyDescent="0.35">
      <c r="A80">
        <v>71</v>
      </c>
      <c r="B80">
        <v>0</v>
      </c>
      <c r="C80">
        <v>1.36857809999492</v>
      </c>
      <c r="D80" t="str">
        <f t="shared" si="1"/>
        <v>pre</v>
      </c>
    </row>
    <row r="81" spans="1:4" x14ac:dyDescent="0.35">
      <c r="A81">
        <v>3</v>
      </c>
      <c r="B81">
        <v>0</v>
      </c>
      <c r="C81">
        <v>2.2270710000302598</v>
      </c>
      <c r="D81" t="str">
        <f t="shared" si="1"/>
        <v>pre</v>
      </c>
    </row>
    <row r="82" spans="1:4" x14ac:dyDescent="0.35">
      <c r="A82">
        <v>72</v>
      </c>
      <c r="B82">
        <v>0</v>
      </c>
      <c r="C82">
        <v>1.4788911000359799</v>
      </c>
      <c r="D82" t="str">
        <f t="shared" si="1"/>
        <v>pre</v>
      </c>
    </row>
    <row r="83" spans="1:4" x14ac:dyDescent="0.35">
      <c r="A83">
        <v>34</v>
      </c>
      <c r="B83">
        <v>0</v>
      </c>
      <c r="C83">
        <v>1.7459589000209199</v>
      </c>
      <c r="D83" t="str">
        <f t="shared" si="1"/>
        <v>pre</v>
      </c>
    </row>
    <row r="84" spans="1:4" x14ac:dyDescent="0.35">
      <c r="A84">
        <v>8</v>
      </c>
      <c r="B84">
        <v>0</v>
      </c>
      <c r="C84">
        <v>1.7337783999973899</v>
      </c>
      <c r="D84" t="str">
        <f t="shared" si="1"/>
        <v>pre</v>
      </c>
    </row>
    <row r="85" spans="1:4" x14ac:dyDescent="0.35">
      <c r="A85">
        <v>80</v>
      </c>
      <c r="B85">
        <v>0</v>
      </c>
      <c r="C85">
        <v>1.50092970003606</v>
      </c>
      <c r="D85" t="str">
        <f t="shared" si="1"/>
        <v>post</v>
      </c>
    </row>
    <row r="86" spans="1:4" x14ac:dyDescent="0.35">
      <c r="A86">
        <v>74</v>
      </c>
      <c r="B86">
        <v>0</v>
      </c>
      <c r="C86">
        <v>1.64880580001045</v>
      </c>
      <c r="D86" t="str">
        <f t="shared" si="1"/>
        <v>pre</v>
      </c>
    </row>
    <row r="87" spans="1:4" x14ac:dyDescent="0.35">
      <c r="A87">
        <v>76</v>
      </c>
      <c r="B87">
        <v>0</v>
      </c>
      <c r="C87">
        <v>2.8845593000296499</v>
      </c>
      <c r="D87" t="str">
        <f t="shared" si="1"/>
        <v>pre</v>
      </c>
    </row>
    <row r="88" spans="1:4" x14ac:dyDescent="0.35">
      <c r="A88">
        <v>64</v>
      </c>
      <c r="B88">
        <v>0</v>
      </c>
      <c r="C88">
        <v>3.1488602999597699</v>
      </c>
      <c r="D88" t="str">
        <f t="shared" si="1"/>
        <v>pre</v>
      </c>
    </row>
    <row r="89" spans="1:4" x14ac:dyDescent="0.35">
      <c r="A89">
        <v>65</v>
      </c>
      <c r="B89">
        <v>0</v>
      </c>
      <c r="C89">
        <v>1.5513092000037401</v>
      </c>
      <c r="D89" t="str">
        <f t="shared" si="1"/>
        <v>pre</v>
      </c>
    </row>
    <row r="90" spans="1:4" x14ac:dyDescent="0.35">
      <c r="A90">
        <v>70</v>
      </c>
      <c r="B90">
        <v>0</v>
      </c>
      <c r="C90">
        <v>1.55232770001748</v>
      </c>
      <c r="D90" t="str">
        <f t="shared" si="1"/>
        <v>pre</v>
      </c>
    </row>
    <row r="91" spans="1:4" x14ac:dyDescent="0.35">
      <c r="A91">
        <v>14</v>
      </c>
      <c r="B91">
        <v>0</v>
      </c>
      <c r="C91">
        <v>1.59254680003505</v>
      </c>
      <c r="D91" t="str">
        <f t="shared" si="1"/>
        <v>pre</v>
      </c>
    </row>
    <row r="92" spans="1:4" x14ac:dyDescent="0.35">
      <c r="A92">
        <v>35</v>
      </c>
      <c r="B92">
        <v>0</v>
      </c>
      <c r="C92">
        <v>1.4846162999747301</v>
      </c>
      <c r="D92" t="str">
        <f t="shared" si="1"/>
        <v>pre</v>
      </c>
    </row>
    <row r="93" spans="1:4" x14ac:dyDescent="0.35">
      <c r="A93">
        <v>59</v>
      </c>
      <c r="B93">
        <v>0</v>
      </c>
      <c r="C93">
        <v>2.5499525999766699</v>
      </c>
      <c r="D93" t="str">
        <f t="shared" si="1"/>
        <v>pre</v>
      </c>
    </row>
    <row r="94" spans="1:4" x14ac:dyDescent="0.35">
      <c r="A94">
        <v>12</v>
      </c>
      <c r="B94">
        <v>1</v>
      </c>
      <c r="C94">
        <v>1.4053691999870299</v>
      </c>
      <c r="D94" t="str">
        <f t="shared" si="1"/>
        <v>pre</v>
      </c>
    </row>
    <row r="95" spans="1:4" x14ac:dyDescent="0.35">
      <c r="A95">
        <v>1</v>
      </c>
      <c r="B95">
        <v>0</v>
      </c>
      <c r="C95">
        <v>1.3303902000188801</v>
      </c>
      <c r="D95" t="str">
        <f t="shared" si="1"/>
        <v>pre</v>
      </c>
    </row>
    <row r="96" spans="1:4" x14ac:dyDescent="0.35">
      <c r="A96">
        <v>43</v>
      </c>
      <c r="B96">
        <v>0</v>
      </c>
      <c r="C96">
        <v>1.5343410000205</v>
      </c>
      <c r="D96" t="str">
        <f t="shared" si="1"/>
        <v>pre</v>
      </c>
    </row>
    <row r="97" spans="1:4" x14ac:dyDescent="0.35">
      <c r="A97">
        <v>29</v>
      </c>
      <c r="B97">
        <v>0</v>
      </c>
      <c r="C97">
        <v>1.57234070001868</v>
      </c>
      <c r="D97" t="str">
        <f t="shared" si="1"/>
        <v>pre</v>
      </c>
    </row>
    <row r="98" spans="1:4" x14ac:dyDescent="0.35">
      <c r="A98">
        <v>44</v>
      </c>
      <c r="B98">
        <v>1</v>
      </c>
      <c r="C98">
        <v>1.3497598000103599</v>
      </c>
      <c r="D98" t="str">
        <f t="shared" si="1"/>
        <v>pre</v>
      </c>
    </row>
    <row r="99" spans="1:4" x14ac:dyDescent="0.35">
      <c r="A99">
        <v>78</v>
      </c>
      <c r="B99">
        <v>0</v>
      </c>
      <c r="C99">
        <v>1.4014016999862999</v>
      </c>
      <c r="D99" t="str">
        <f t="shared" si="1"/>
        <v>pre</v>
      </c>
    </row>
    <row r="100" spans="1:4" x14ac:dyDescent="0.35">
      <c r="A100">
        <v>33</v>
      </c>
      <c r="B100">
        <v>0</v>
      </c>
      <c r="C100">
        <v>1.6078393000061599</v>
      </c>
      <c r="D100" t="str">
        <f t="shared" si="1"/>
        <v>pre</v>
      </c>
    </row>
    <row r="101" spans="1:4" x14ac:dyDescent="0.35">
      <c r="A101">
        <v>45</v>
      </c>
      <c r="B101">
        <v>1</v>
      </c>
      <c r="C101">
        <v>1.44810360000701</v>
      </c>
      <c r="D101" t="str">
        <f t="shared" si="1"/>
        <v>pre</v>
      </c>
    </row>
    <row r="102" spans="1:4" x14ac:dyDescent="0.35">
      <c r="A102">
        <v>38</v>
      </c>
      <c r="B102">
        <v>1</v>
      </c>
      <c r="C102">
        <v>2.34354660002281</v>
      </c>
      <c r="D102" t="str">
        <f t="shared" si="1"/>
        <v>pre</v>
      </c>
    </row>
    <row r="103" spans="1:4" x14ac:dyDescent="0.35">
      <c r="A103">
        <v>13</v>
      </c>
      <c r="B103">
        <v>1</v>
      </c>
      <c r="C103">
        <v>12.674652999965399</v>
      </c>
      <c r="D103" t="str">
        <f t="shared" si="1"/>
        <v>pre</v>
      </c>
    </row>
    <row r="104" spans="1:4" x14ac:dyDescent="0.35">
      <c r="A104">
        <v>50</v>
      </c>
      <c r="B104">
        <v>1</v>
      </c>
      <c r="C104">
        <v>1.9220323000335999</v>
      </c>
      <c r="D104" t="str">
        <f t="shared" si="1"/>
        <v>pre</v>
      </c>
    </row>
    <row r="105" spans="1:4" x14ac:dyDescent="0.35">
      <c r="A105">
        <v>72</v>
      </c>
      <c r="B105">
        <v>0</v>
      </c>
      <c r="C105">
        <v>1.42629949998809</v>
      </c>
      <c r="D105" t="str">
        <f t="shared" si="1"/>
        <v>pre</v>
      </c>
    </row>
    <row r="106" spans="1:4" x14ac:dyDescent="0.35">
      <c r="A106">
        <v>73</v>
      </c>
      <c r="B106">
        <v>0</v>
      </c>
      <c r="C106">
        <v>1.81044630001997</v>
      </c>
      <c r="D106" t="str">
        <f t="shared" si="1"/>
        <v>pre</v>
      </c>
    </row>
    <row r="107" spans="1:4" x14ac:dyDescent="0.35">
      <c r="A107">
        <v>55</v>
      </c>
      <c r="B107">
        <v>0</v>
      </c>
      <c r="C107">
        <v>1.5428651000256599</v>
      </c>
      <c r="D107" t="str">
        <f t="shared" si="1"/>
        <v>pre</v>
      </c>
    </row>
    <row r="108" spans="1:4" x14ac:dyDescent="0.35">
      <c r="A108">
        <v>15</v>
      </c>
      <c r="B108">
        <v>0</v>
      </c>
      <c r="C108">
        <v>1.64118919998873</v>
      </c>
      <c r="D108" t="str">
        <f t="shared" si="1"/>
        <v>pre</v>
      </c>
    </row>
    <row r="109" spans="1:4" x14ac:dyDescent="0.35">
      <c r="A109">
        <v>54</v>
      </c>
      <c r="B109">
        <v>0</v>
      </c>
      <c r="C109">
        <v>1.4585422000382</v>
      </c>
      <c r="D109" t="str">
        <f t="shared" si="1"/>
        <v>pre</v>
      </c>
    </row>
    <row r="110" spans="1:4" x14ac:dyDescent="0.35">
      <c r="A110">
        <v>40</v>
      </c>
      <c r="B110">
        <v>0</v>
      </c>
      <c r="C110">
        <v>1.51354340004036</v>
      </c>
      <c r="D110" t="str">
        <f t="shared" si="1"/>
        <v>pre</v>
      </c>
    </row>
    <row r="111" spans="1:4" x14ac:dyDescent="0.35">
      <c r="A111">
        <v>23</v>
      </c>
      <c r="B111">
        <v>0</v>
      </c>
      <c r="C111">
        <v>1.58378869999432</v>
      </c>
      <c r="D111" t="str">
        <f t="shared" si="1"/>
        <v>pre</v>
      </c>
    </row>
    <row r="112" spans="1:4" x14ac:dyDescent="0.35">
      <c r="A112">
        <v>10</v>
      </c>
      <c r="B112">
        <v>0</v>
      </c>
      <c r="C112">
        <v>1.5005877999938</v>
      </c>
      <c r="D112" t="str">
        <f t="shared" si="1"/>
        <v>pre</v>
      </c>
    </row>
    <row r="113" spans="1:4" x14ac:dyDescent="0.35">
      <c r="A113">
        <v>60</v>
      </c>
      <c r="B113">
        <v>0</v>
      </c>
      <c r="C113">
        <v>1.38933630002429</v>
      </c>
      <c r="D113" t="str">
        <f t="shared" si="1"/>
        <v>pre</v>
      </c>
    </row>
    <row r="114" spans="1:4" x14ac:dyDescent="0.35">
      <c r="A114">
        <v>22</v>
      </c>
      <c r="B114">
        <v>0</v>
      </c>
      <c r="C114">
        <v>2.2522885999642299</v>
      </c>
      <c r="D114" t="str">
        <f t="shared" si="1"/>
        <v>pre</v>
      </c>
    </row>
    <row r="115" spans="1:4" x14ac:dyDescent="0.35">
      <c r="A115">
        <v>79</v>
      </c>
      <c r="B115">
        <v>0</v>
      </c>
      <c r="C115">
        <v>1.43222170002991</v>
      </c>
      <c r="D115" t="str">
        <f t="shared" si="1"/>
        <v>pre</v>
      </c>
    </row>
    <row r="116" spans="1:4" x14ac:dyDescent="0.35">
      <c r="A116">
        <v>41</v>
      </c>
      <c r="B116">
        <v>0</v>
      </c>
      <c r="C116">
        <v>1.49744190002093</v>
      </c>
      <c r="D116" t="str">
        <f t="shared" si="1"/>
        <v>pre</v>
      </c>
    </row>
    <row r="117" spans="1:4" x14ac:dyDescent="0.35">
      <c r="A117">
        <v>16</v>
      </c>
      <c r="B117">
        <v>1</v>
      </c>
      <c r="C117">
        <v>1.46786710002925</v>
      </c>
      <c r="D117" t="str">
        <f t="shared" si="1"/>
        <v>pre</v>
      </c>
    </row>
    <row r="118" spans="1:4" x14ac:dyDescent="0.35">
      <c r="A118">
        <v>57</v>
      </c>
      <c r="B118">
        <v>0</v>
      </c>
      <c r="C118">
        <v>1.64305990003049</v>
      </c>
      <c r="D118" t="str">
        <f t="shared" si="1"/>
        <v>pre</v>
      </c>
    </row>
    <row r="119" spans="1:4" x14ac:dyDescent="0.35">
      <c r="A119">
        <v>62</v>
      </c>
      <c r="B119">
        <v>0</v>
      </c>
      <c r="C119">
        <v>1.4479755000211201</v>
      </c>
      <c r="D119" t="str">
        <f t="shared" si="1"/>
        <v>pre</v>
      </c>
    </row>
    <row r="120" spans="1:4" x14ac:dyDescent="0.35">
      <c r="A120">
        <v>4</v>
      </c>
      <c r="B120">
        <v>0</v>
      </c>
      <c r="C120">
        <v>1.52803240000503</v>
      </c>
      <c r="D120" t="str">
        <f t="shared" si="1"/>
        <v>pre</v>
      </c>
    </row>
    <row r="121" spans="1:4" x14ac:dyDescent="0.35">
      <c r="A121">
        <v>66</v>
      </c>
      <c r="B121">
        <v>0</v>
      </c>
      <c r="C121">
        <v>1.7751172000425799</v>
      </c>
      <c r="D121" t="str">
        <f t="shared" si="1"/>
        <v>pre</v>
      </c>
    </row>
    <row r="122" spans="1:4" x14ac:dyDescent="0.35">
      <c r="A122">
        <v>61</v>
      </c>
      <c r="B122">
        <v>0</v>
      </c>
      <c r="C122">
        <v>1.59315050003351</v>
      </c>
      <c r="D122" t="str">
        <f t="shared" si="1"/>
        <v>pre</v>
      </c>
    </row>
    <row r="123" spans="1:4" x14ac:dyDescent="0.35">
      <c r="A123">
        <v>52</v>
      </c>
      <c r="B123">
        <v>0</v>
      </c>
      <c r="C123">
        <v>1.7025441000005199</v>
      </c>
      <c r="D123" t="str">
        <f t="shared" si="1"/>
        <v>pre</v>
      </c>
    </row>
    <row r="124" spans="1:4" x14ac:dyDescent="0.35">
      <c r="A124">
        <v>25</v>
      </c>
      <c r="B124">
        <v>1</v>
      </c>
      <c r="C124">
        <v>2.0493397999671199</v>
      </c>
      <c r="D124" t="str">
        <f t="shared" si="1"/>
        <v>pre</v>
      </c>
    </row>
    <row r="125" spans="1:4" x14ac:dyDescent="0.35">
      <c r="A125">
        <v>18</v>
      </c>
      <c r="B125">
        <v>0</v>
      </c>
      <c r="C125">
        <v>1.8552468999987399</v>
      </c>
      <c r="D125" t="str">
        <f t="shared" si="1"/>
        <v>pre</v>
      </c>
    </row>
    <row r="126" spans="1:4" x14ac:dyDescent="0.35">
      <c r="A126">
        <v>68</v>
      </c>
      <c r="B126">
        <v>0</v>
      </c>
      <c r="C126">
        <v>1.9714064999716301</v>
      </c>
      <c r="D126" t="str">
        <f t="shared" si="1"/>
        <v>pre</v>
      </c>
    </row>
    <row r="127" spans="1:4" x14ac:dyDescent="0.35">
      <c r="A127">
        <v>20</v>
      </c>
      <c r="B127">
        <v>1</v>
      </c>
      <c r="C127">
        <v>1.5686381999985299</v>
      </c>
      <c r="D127" t="str">
        <f t="shared" si="1"/>
        <v>pre</v>
      </c>
    </row>
    <row r="128" spans="1:4" x14ac:dyDescent="0.35">
      <c r="A128">
        <v>21</v>
      </c>
      <c r="B128">
        <v>0</v>
      </c>
      <c r="C128">
        <v>1.7254697000025701</v>
      </c>
      <c r="D128" t="str">
        <f t="shared" si="1"/>
        <v>pre</v>
      </c>
    </row>
    <row r="129" spans="1:4" x14ac:dyDescent="0.35">
      <c r="A129">
        <v>37</v>
      </c>
      <c r="B129">
        <v>0</v>
      </c>
      <c r="C129">
        <v>1.57472729997243</v>
      </c>
      <c r="D129" t="str">
        <f t="shared" si="1"/>
        <v>pre</v>
      </c>
    </row>
    <row r="130" spans="1:4" x14ac:dyDescent="0.35">
      <c r="A130">
        <v>71</v>
      </c>
      <c r="B130">
        <v>0</v>
      </c>
      <c r="C130">
        <v>1.7309176999842699</v>
      </c>
      <c r="D130" t="str">
        <f t="shared" si="1"/>
        <v>pre</v>
      </c>
    </row>
    <row r="131" spans="1:4" x14ac:dyDescent="0.35">
      <c r="A131">
        <v>31</v>
      </c>
      <c r="B131">
        <v>0</v>
      </c>
      <c r="C131">
        <v>1.3985304000088901</v>
      </c>
      <c r="D131" t="str">
        <f t="shared" si="1"/>
        <v>pre</v>
      </c>
    </row>
    <row r="132" spans="1:4" x14ac:dyDescent="0.35">
      <c r="A132">
        <v>27</v>
      </c>
      <c r="B132">
        <v>1</v>
      </c>
      <c r="C132">
        <v>1.8947535000042901</v>
      </c>
      <c r="D132" t="str">
        <f t="shared" ref="D132:D162" si="2">IF(A132&lt;80,"pre","post")</f>
        <v>pre</v>
      </c>
    </row>
    <row r="133" spans="1:4" x14ac:dyDescent="0.35">
      <c r="A133">
        <v>19</v>
      </c>
      <c r="B133">
        <v>0</v>
      </c>
      <c r="C133">
        <v>1.62816609995206</v>
      </c>
      <c r="D133" t="str">
        <f t="shared" si="2"/>
        <v>pre</v>
      </c>
    </row>
    <row r="134" spans="1:4" x14ac:dyDescent="0.35">
      <c r="A134">
        <v>58</v>
      </c>
      <c r="B134">
        <v>0</v>
      </c>
      <c r="C134">
        <v>1.4114287000265899</v>
      </c>
      <c r="D134" t="str">
        <f t="shared" si="2"/>
        <v>pre</v>
      </c>
    </row>
    <row r="135" spans="1:4" x14ac:dyDescent="0.35">
      <c r="A135">
        <v>67</v>
      </c>
      <c r="B135">
        <v>1</v>
      </c>
      <c r="C135">
        <v>1.5063395000179201</v>
      </c>
      <c r="D135" t="str">
        <f t="shared" si="2"/>
        <v>pre</v>
      </c>
    </row>
    <row r="136" spans="1:4" x14ac:dyDescent="0.35">
      <c r="A136">
        <v>56</v>
      </c>
      <c r="B136">
        <v>0</v>
      </c>
      <c r="C136">
        <v>1.6197182000032599</v>
      </c>
      <c r="D136" t="str">
        <f t="shared" si="2"/>
        <v>pre</v>
      </c>
    </row>
    <row r="137" spans="1:4" x14ac:dyDescent="0.35">
      <c r="A137">
        <v>32</v>
      </c>
      <c r="B137">
        <v>0</v>
      </c>
      <c r="C137">
        <v>1.52847969997674</v>
      </c>
      <c r="D137" t="str">
        <f t="shared" si="2"/>
        <v>pre</v>
      </c>
    </row>
    <row r="138" spans="1:4" x14ac:dyDescent="0.35">
      <c r="A138">
        <v>2</v>
      </c>
      <c r="B138">
        <v>1</v>
      </c>
      <c r="C138">
        <v>1.6329038999974701</v>
      </c>
      <c r="D138" t="str">
        <f t="shared" si="2"/>
        <v>pre</v>
      </c>
    </row>
    <row r="139" spans="1:4" x14ac:dyDescent="0.35">
      <c r="A139">
        <v>63</v>
      </c>
      <c r="B139">
        <v>0</v>
      </c>
      <c r="C139">
        <v>1.5121009000576999</v>
      </c>
      <c r="D139" t="str">
        <f t="shared" si="2"/>
        <v>pre</v>
      </c>
    </row>
    <row r="140" spans="1:4" x14ac:dyDescent="0.35">
      <c r="A140">
        <v>6</v>
      </c>
      <c r="B140">
        <v>0</v>
      </c>
      <c r="C140">
        <v>1.9195250999764499</v>
      </c>
      <c r="D140" t="str">
        <f t="shared" si="2"/>
        <v>pre</v>
      </c>
    </row>
    <row r="141" spans="1:4" x14ac:dyDescent="0.35">
      <c r="A141">
        <v>46</v>
      </c>
      <c r="B141">
        <v>0</v>
      </c>
      <c r="C141">
        <v>1.65992629999527</v>
      </c>
      <c r="D141" t="str">
        <f t="shared" si="2"/>
        <v>pre</v>
      </c>
    </row>
    <row r="142" spans="1:4" x14ac:dyDescent="0.35">
      <c r="A142">
        <v>28</v>
      </c>
      <c r="B142">
        <v>0</v>
      </c>
      <c r="C142">
        <v>1.73640170000726</v>
      </c>
      <c r="D142" t="str">
        <f t="shared" si="2"/>
        <v>pre</v>
      </c>
    </row>
    <row r="143" spans="1:4" x14ac:dyDescent="0.35">
      <c r="A143">
        <v>7</v>
      </c>
      <c r="B143">
        <v>0</v>
      </c>
      <c r="C143">
        <v>1.79600000003119</v>
      </c>
      <c r="D143" t="str">
        <f t="shared" si="2"/>
        <v>pre</v>
      </c>
    </row>
    <row r="144" spans="1:4" x14ac:dyDescent="0.35">
      <c r="A144">
        <v>26</v>
      </c>
      <c r="B144">
        <v>0</v>
      </c>
      <c r="C144">
        <v>1.46253710001474</v>
      </c>
      <c r="D144" t="str">
        <f t="shared" si="2"/>
        <v>pre</v>
      </c>
    </row>
    <row r="145" spans="1:4" x14ac:dyDescent="0.35">
      <c r="A145">
        <v>39</v>
      </c>
      <c r="B145">
        <v>1</v>
      </c>
      <c r="C145">
        <v>2.1331928999861698</v>
      </c>
      <c r="D145" t="str">
        <f t="shared" si="2"/>
        <v>pre</v>
      </c>
    </row>
    <row r="146" spans="1:4" x14ac:dyDescent="0.35">
      <c r="A146">
        <v>9</v>
      </c>
      <c r="B146">
        <v>1</v>
      </c>
      <c r="C146">
        <v>1.6016608000500101</v>
      </c>
      <c r="D146" t="str">
        <f t="shared" si="2"/>
        <v>pre</v>
      </c>
    </row>
    <row r="147" spans="1:4" x14ac:dyDescent="0.35">
      <c r="A147">
        <v>5</v>
      </c>
      <c r="B147">
        <v>0</v>
      </c>
      <c r="C147">
        <v>1.9653631999972201</v>
      </c>
      <c r="D147" t="str">
        <f t="shared" si="2"/>
        <v>pre</v>
      </c>
    </row>
    <row r="148" spans="1:4" x14ac:dyDescent="0.35">
      <c r="A148">
        <v>77</v>
      </c>
      <c r="B148">
        <v>1</v>
      </c>
      <c r="C148">
        <v>1.46019070001784</v>
      </c>
      <c r="D148" t="str">
        <f t="shared" si="2"/>
        <v>pre</v>
      </c>
    </row>
    <row r="149" spans="1:4" x14ac:dyDescent="0.35">
      <c r="A149">
        <v>53</v>
      </c>
      <c r="B149">
        <v>0</v>
      </c>
      <c r="C149">
        <v>1.57054300000891</v>
      </c>
      <c r="D149" t="str">
        <f t="shared" si="2"/>
        <v>pre</v>
      </c>
    </row>
    <row r="150" spans="1:4" x14ac:dyDescent="0.35">
      <c r="A150">
        <v>49</v>
      </c>
      <c r="B150">
        <v>0</v>
      </c>
      <c r="C150">
        <v>1.4049472000333401</v>
      </c>
      <c r="D150" t="str">
        <f t="shared" si="2"/>
        <v>pre</v>
      </c>
    </row>
    <row r="151" spans="1:4" x14ac:dyDescent="0.35">
      <c r="A151">
        <v>48</v>
      </c>
      <c r="B151">
        <v>0</v>
      </c>
      <c r="C151">
        <v>1.42412779998267</v>
      </c>
      <c r="D151" t="str">
        <f t="shared" si="2"/>
        <v>pre</v>
      </c>
    </row>
    <row r="152" spans="1:4" x14ac:dyDescent="0.35">
      <c r="A152">
        <v>75</v>
      </c>
      <c r="B152">
        <v>0</v>
      </c>
      <c r="C152">
        <v>1.44262479996541</v>
      </c>
      <c r="D152" t="str">
        <f t="shared" si="2"/>
        <v>pre</v>
      </c>
    </row>
    <row r="153" spans="1:4" x14ac:dyDescent="0.35">
      <c r="A153">
        <v>17</v>
      </c>
      <c r="B153">
        <v>0</v>
      </c>
      <c r="C153">
        <v>1.7085937999654499</v>
      </c>
      <c r="D153" t="str">
        <f t="shared" si="2"/>
        <v>pre</v>
      </c>
    </row>
    <row r="154" spans="1:4" x14ac:dyDescent="0.35">
      <c r="A154">
        <v>30</v>
      </c>
      <c r="B154">
        <v>1</v>
      </c>
      <c r="C154">
        <v>1.7120397000107901</v>
      </c>
      <c r="D154" t="str">
        <f t="shared" si="2"/>
        <v>pre</v>
      </c>
    </row>
    <row r="155" spans="1:4" x14ac:dyDescent="0.35">
      <c r="A155">
        <v>42</v>
      </c>
      <c r="B155">
        <v>1</v>
      </c>
      <c r="C155">
        <v>1.3054343999829101</v>
      </c>
      <c r="D155" t="str">
        <f t="shared" si="2"/>
        <v>pre</v>
      </c>
    </row>
    <row r="156" spans="1:4" x14ac:dyDescent="0.35">
      <c r="A156">
        <v>51</v>
      </c>
      <c r="B156">
        <v>0</v>
      </c>
      <c r="C156">
        <v>1.43024239997612</v>
      </c>
      <c r="D156" t="str">
        <f t="shared" si="2"/>
        <v>pre</v>
      </c>
    </row>
    <row r="157" spans="1:4" x14ac:dyDescent="0.35">
      <c r="A157">
        <v>47</v>
      </c>
      <c r="B157">
        <v>0</v>
      </c>
      <c r="C157">
        <v>1.49039360001916</v>
      </c>
      <c r="D157" t="str">
        <f t="shared" si="2"/>
        <v>pre</v>
      </c>
    </row>
    <row r="158" spans="1:4" x14ac:dyDescent="0.35">
      <c r="A158">
        <v>24</v>
      </c>
      <c r="B158">
        <v>0</v>
      </c>
      <c r="C158">
        <v>1.5532378000207201</v>
      </c>
      <c r="D158" t="str">
        <f t="shared" si="2"/>
        <v>pre</v>
      </c>
    </row>
    <row r="159" spans="1:4" x14ac:dyDescent="0.35">
      <c r="A159">
        <v>11</v>
      </c>
      <c r="B159">
        <v>0</v>
      </c>
      <c r="C159">
        <v>1.61557859997265</v>
      </c>
      <c r="D159" t="str">
        <f t="shared" si="2"/>
        <v>pre</v>
      </c>
    </row>
    <row r="160" spans="1:4" x14ac:dyDescent="0.35">
      <c r="A160">
        <v>69</v>
      </c>
      <c r="B160">
        <v>0</v>
      </c>
      <c r="C160">
        <v>1.71393600001465</v>
      </c>
      <c r="D160" t="str">
        <f t="shared" si="2"/>
        <v>pre</v>
      </c>
    </row>
    <row r="161" spans="1:4" x14ac:dyDescent="0.35">
      <c r="A161">
        <v>36</v>
      </c>
      <c r="B161">
        <v>0</v>
      </c>
      <c r="C161">
        <v>2.4304701000219202</v>
      </c>
      <c r="D161" t="str">
        <f t="shared" si="2"/>
        <v>pre</v>
      </c>
    </row>
    <row r="162" spans="1:4" x14ac:dyDescent="0.35">
      <c r="A162">
        <v>3</v>
      </c>
      <c r="B162">
        <v>0</v>
      </c>
      <c r="C162">
        <v>1.44812459999229</v>
      </c>
      <c r="D162" t="str">
        <f t="shared" si="2"/>
        <v>pre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1412-6C35-49FD-9711-CE59A7D4C4E5}">
  <dimension ref="A1:F162"/>
  <sheetViews>
    <sheetView workbookViewId="0">
      <selection activeCell="G3" sqref="G3"/>
    </sheetView>
  </sheetViews>
  <sheetFormatPr defaultRowHeight="14.5" x14ac:dyDescent="0.35"/>
  <cols>
    <col min="4" max="4" width="10.453125" customWidth="1"/>
    <col min="5" max="5" width="14" customWidth="1"/>
    <col min="6" max="6" width="11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3" spans="1:6" x14ac:dyDescent="0.35">
      <c r="A3">
        <v>29</v>
      </c>
      <c r="B3">
        <v>0</v>
      </c>
      <c r="C3">
        <v>2.21831829997245</v>
      </c>
      <c r="D3" t="str">
        <f>IF(A3&lt;80,"pre","post")</f>
        <v>pre</v>
      </c>
      <c r="E3" t="s">
        <v>4</v>
      </c>
      <c r="F3">
        <f>AVERAGEIF(D:D,"pre",C:C)</f>
        <v>1.4169519601207015</v>
      </c>
    </row>
    <row r="4" spans="1:6" x14ac:dyDescent="0.35">
      <c r="A4">
        <v>77</v>
      </c>
      <c r="B4">
        <v>1</v>
      </c>
      <c r="C4">
        <v>1.5515393000096001</v>
      </c>
      <c r="D4" t="str">
        <f t="shared" ref="D4:D67" si="0">IF(A4&lt;80,"pre","post")</f>
        <v>pre</v>
      </c>
      <c r="E4" t="s">
        <v>5</v>
      </c>
      <c r="F4">
        <f>AVERAGEIF(D:D,"post",C:C)</f>
        <v>1.4210058999597051</v>
      </c>
    </row>
    <row r="5" spans="1:6" x14ac:dyDescent="0.35">
      <c r="A5">
        <v>35</v>
      </c>
      <c r="B5">
        <v>0</v>
      </c>
      <c r="C5">
        <v>1.51113250001799</v>
      </c>
      <c r="D5" t="str">
        <f t="shared" si="0"/>
        <v>pre</v>
      </c>
    </row>
    <row r="6" spans="1:6" x14ac:dyDescent="0.35">
      <c r="A6">
        <v>15</v>
      </c>
      <c r="B6">
        <v>0</v>
      </c>
      <c r="C6">
        <v>1.43005030008498</v>
      </c>
      <c r="D6" t="str">
        <f t="shared" si="0"/>
        <v>pre</v>
      </c>
      <c r="E6" t="s">
        <v>6</v>
      </c>
      <c r="F6">
        <f>1-AVERAGEIF(D:D,"pre",B:B)</f>
        <v>0.77848101265822789</v>
      </c>
    </row>
    <row r="7" spans="1:6" x14ac:dyDescent="0.35">
      <c r="A7">
        <v>4</v>
      </c>
      <c r="B7">
        <v>0</v>
      </c>
      <c r="C7">
        <v>1.4420330000575601</v>
      </c>
      <c r="D7" t="str">
        <f t="shared" si="0"/>
        <v>pre</v>
      </c>
      <c r="E7" t="s">
        <v>7</v>
      </c>
      <c r="F7">
        <f>1-AVERAGEIF(D:D,"post",B:B)</f>
        <v>1</v>
      </c>
    </row>
    <row r="8" spans="1:6" x14ac:dyDescent="0.35">
      <c r="A8">
        <v>12</v>
      </c>
      <c r="B8">
        <v>1</v>
      </c>
      <c r="C8">
        <v>1.4326732999179499</v>
      </c>
      <c r="D8" t="str">
        <f t="shared" si="0"/>
        <v>pre</v>
      </c>
    </row>
    <row r="9" spans="1:6" x14ac:dyDescent="0.35">
      <c r="A9">
        <v>60</v>
      </c>
      <c r="B9">
        <v>0</v>
      </c>
      <c r="C9">
        <v>1.3347189000341999</v>
      </c>
      <c r="D9" t="str">
        <f t="shared" si="0"/>
        <v>pre</v>
      </c>
    </row>
    <row r="10" spans="1:6" x14ac:dyDescent="0.35">
      <c r="A10">
        <v>67</v>
      </c>
      <c r="B10">
        <v>1</v>
      </c>
      <c r="C10">
        <v>1.55601339996792</v>
      </c>
      <c r="D10" t="str">
        <f t="shared" si="0"/>
        <v>pre</v>
      </c>
    </row>
    <row r="11" spans="1:6" x14ac:dyDescent="0.35">
      <c r="A11">
        <v>16</v>
      </c>
      <c r="B11">
        <v>1</v>
      </c>
      <c r="C11">
        <v>1.34854180004913</v>
      </c>
      <c r="D11" t="str">
        <f t="shared" si="0"/>
        <v>pre</v>
      </c>
    </row>
    <row r="12" spans="1:6" x14ac:dyDescent="0.35">
      <c r="A12">
        <v>32</v>
      </c>
      <c r="B12">
        <v>0</v>
      </c>
      <c r="C12">
        <v>1.50574860000051</v>
      </c>
      <c r="D12" t="str">
        <f t="shared" si="0"/>
        <v>pre</v>
      </c>
    </row>
    <row r="13" spans="1:6" x14ac:dyDescent="0.35">
      <c r="A13">
        <v>37</v>
      </c>
      <c r="B13">
        <v>0</v>
      </c>
      <c r="C13">
        <v>1.46596489998046</v>
      </c>
      <c r="D13" t="str">
        <f t="shared" si="0"/>
        <v>pre</v>
      </c>
    </row>
    <row r="14" spans="1:6" x14ac:dyDescent="0.35">
      <c r="A14">
        <v>28</v>
      </c>
      <c r="B14">
        <v>0</v>
      </c>
      <c r="C14">
        <v>1.5899831000715401</v>
      </c>
      <c r="D14" t="str">
        <f t="shared" si="0"/>
        <v>pre</v>
      </c>
    </row>
    <row r="15" spans="1:6" x14ac:dyDescent="0.35">
      <c r="A15">
        <v>72</v>
      </c>
      <c r="B15">
        <v>0</v>
      </c>
      <c r="C15">
        <v>1.5665870000375399</v>
      </c>
      <c r="D15" t="str">
        <f t="shared" si="0"/>
        <v>pre</v>
      </c>
    </row>
    <row r="16" spans="1:6" x14ac:dyDescent="0.35">
      <c r="A16">
        <v>40</v>
      </c>
      <c r="B16">
        <v>0</v>
      </c>
      <c r="C16">
        <v>1.37739380006678</v>
      </c>
      <c r="D16" t="str">
        <f t="shared" si="0"/>
        <v>pre</v>
      </c>
    </row>
    <row r="17" spans="1:4" x14ac:dyDescent="0.35">
      <c r="A17">
        <v>66</v>
      </c>
      <c r="B17">
        <v>0</v>
      </c>
      <c r="C17">
        <v>1.6706170999677801</v>
      </c>
      <c r="D17" t="str">
        <f t="shared" si="0"/>
        <v>pre</v>
      </c>
    </row>
    <row r="18" spans="1:4" x14ac:dyDescent="0.35">
      <c r="A18">
        <v>23</v>
      </c>
      <c r="B18">
        <v>0</v>
      </c>
      <c r="C18">
        <v>1.4893526999512601</v>
      </c>
      <c r="D18" t="str">
        <f t="shared" si="0"/>
        <v>pre</v>
      </c>
    </row>
    <row r="19" spans="1:4" x14ac:dyDescent="0.35">
      <c r="A19">
        <v>48</v>
      </c>
      <c r="B19">
        <v>0</v>
      </c>
      <c r="C19">
        <v>1.4304580999305401</v>
      </c>
      <c r="D19" t="str">
        <f t="shared" si="0"/>
        <v>pre</v>
      </c>
    </row>
    <row r="20" spans="1:4" x14ac:dyDescent="0.35">
      <c r="A20">
        <v>7</v>
      </c>
      <c r="B20">
        <v>0</v>
      </c>
      <c r="C20">
        <v>1.4021357999881701</v>
      </c>
      <c r="D20" t="str">
        <f t="shared" si="0"/>
        <v>pre</v>
      </c>
    </row>
    <row r="21" spans="1:4" x14ac:dyDescent="0.35">
      <c r="A21">
        <v>20</v>
      </c>
      <c r="B21">
        <v>1</v>
      </c>
      <c r="C21">
        <v>1.39178990002255</v>
      </c>
      <c r="D21" t="str">
        <f t="shared" si="0"/>
        <v>pre</v>
      </c>
    </row>
    <row r="22" spans="1:4" x14ac:dyDescent="0.35">
      <c r="A22">
        <v>59</v>
      </c>
      <c r="B22">
        <v>0</v>
      </c>
      <c r="C22">
        <v>1.4164527000393701</v>
      </c>
      <c r="D22" t="str">
        <f t="shared" si="0"/>
        <v>pre</v>
      </c>
    </row>
    <row r="23" spans="1:4" x14ac:dyDescent="0.35">
      <c r="A23">
        <v>74</v>
      </c>
      <c r="B23">
        <v>0</v>
      </c>
      <c r="C23">
        <v>1.3784184999531099</v>
      </c>
      <c r="D23" t="str">
        <f t="shared" si="0"/>
        <v>pre</v>
      </c>
    </row>
    <row r="24" spans="1:4" x14ac:dyDescent="0.35">
      <c r="A24">
        <v>45</v>
      </c>
      <c r="B24">
        <v>1</v>
      </c>
      <c r="C24">
        <v>1.4352591000497299</v>
      </c>
      <c r="D24" t="str">
        <f t="shared" si="0"/>
        <v>pre</v>
      </c>
    </row>
    <row r="25" spans="1:4" x14ac:dyDescent="0.35">
      <c r="A25">
        <v>42</v>
      </c>
      <c r="B25">
        <v>1</v>
      </c>
      <c r="C25">
        <v>1.36124229989945</v>
      </c>
      <c r="D25" t="str">
        <f t="shared" si="0"/>
        <v>pre</v>
      </c>
    </row>
    <row r="26" spans="1:4" x14ac:dyDescent="0.35">
      <c r="A26">
        <v>8</v>
      </c>
      <c r="B26">
        <v>0</v>
      </c>
      <c r="C26">
        <v>1.34957940003369</v>
      </c>
      <c r="D26" t="str">
        <f t="shared" si="0"/>
        <v>pre</v>
      </c>
    </row>
    <row r="27" spans="1:4" x14ac:dyDescent="0.35">
      <c r="A27">
        <v>73</v>
      </c>
      <c r="B27">
        <v>0</v>
      </c>
      <c r="C27">
        <v>1.33897089993115</v>
      </c>
      <c r="D27" t="str">
        <f t="shared" si="0"/>
        <v>pre</v>
      </c>
    </row>
    <row r="28" spans="1:4" x14ac:dyDescent="0.35">
      <c r="A28">
        <v>68</v>
      </c>
      <c r="B28">
        <v>0</v>
      </c>
      <c r="C28">
        <v>1.36913829995319</v>
      </c>
      <c r="D28" t="str">
        <f t="shared" si="0"/>
        <v>pre</v>
      </c>
    </row>
    <row r="29" spans="1:4" x14ac:dyDescent="0.35">
      <c r="A29">
        <v>50</v>
      </c>
      <c r="B29">
        <v>1</v>
      </c>
      <c r="C29">
        <v>1.3700649000238601</v>
      </c>
      <c r="D29" t="str">
        <f t="shared" si="0"/>
        <v>pre</v>
      </c>
    </row>
    <row r="30" spans="1:4" x14ac:dyDescent="0.35">
      <c r="A30">
        <v>64</v>
      </c>
      <c r="B30">
        <v>0</v>
      </c>
      <c r="C30">
        <v>1.39685409993398</v>
      </c>
      <c r="D30" t="str">
        <f t="shared" si="0"/>
        <v>pre</v>
      </c>
    </row>
    <row r="31" spans="1:4" x14ac:dyDescent="0.35">
      <c r="A31">
        <v>56</v>
      </c>
      <c r="B31">
        <v>0</v>
      </c>
      <c r="C31">
        <v>1.3413493999978501</v>
      </c>
      <c r="D31" t="str">
        <f t="shared" si="0"/>
        <v>pre</v>
      </c>
    </row>
    <row r="32" spans="1:4" x14ac:dyDescent="0.35">
      <c r="A32">
        <v>46</v>
      </c>
      <c r="B32">
        <v>0</v>
      </c>
      <c r="C32">
        <v>1.33594090002588</v>
      </c>
      <c r="D32" t="str">
        <f t="shared" si="0"/>
        <v>pre</v>
      </c>
    </row>
    <row r="33" spans="1:4" x14ac:dyDescent="0.35">
      <c r="A33">
        <v>58</v>
      </c>
      <c r="B33">
        <v>0</v>
      </c>
      <c r="C33">
        <v>1.40118639997672</v>
      </c>
      <c r="D33" t="str">
        <f t="shared" si="0"/>
        <v>pre</v>
      </c>
    </row>
    <row r="34" spans="1:4" x14ac:dyDescent="0.35">
      <c r="A34">
        <v>75</v>
      </c>
      <c r="B34">
        <v>0</v>
      </c>
      <c r="C34">
        <v>1.39961909991689</v>
      </c>
      <c r="D34" t="str">
        <f t="shared" si="0"/>
        <v>pre</v>
      </c>
    </row>
    <row r="35" spans="1:4" x14ac:dyDescent="0.35">
      <c r="A35">
        <v>27</v>
      </c>
      <c r="B35">
        <v>1</v>
      </c>
      <c r="C35">
        <v>1.4947528999764399</v>
      </c>
      <c r="D35" t="str">
        <f t="shared" si="0"/>
        <v>pre</v>
      </c>
    </row>
    <row r="36" spans="1:4" x14ac:dyDescent="0.35">
      <c r="A36">
        <v>2</v>
      </c>
      <c r="B36">
        <v>1</v>
      </c>
      <c r="C36">
        <v>1.3191615999676201</v>
      </c>
      <c r="D36" t="str">
        <f t="shared" si="0"/>
        <v>pre</v>
      </c>
    </row>
    <row r="37" spans="1:4" x14ac:dyDescent="0.35">
      <c r="A37">
        <v>76</v>
      </c>
      <c r="B37">
        <v>0</v>
      </c>
      <c r="C37">
        <v>1.42220309993717</v>
      </c>
      <c r="D37" t="str">
        <f t="shared" si="0"/>
        <v>pre</v>
      </c>
    </row>
    <row r="38" spans="1:4" x14ac:dyDescent="0.35">
      <c r="A38">
        <v>9</v>
      </c>
      <c r="B38">
        <v>1</v>
      </c>
      <c r="C38">
        <v>1.3676297999918401</v>
      </c>
      <c r="D38" t="str">
        <f t="shared" si="0"/>
        <v>pre</v>
      </c>
    </row>
    <row r="39" spans="1:4" x14ac:dyDescent="0.35">
      <c r="A39">
        <v>25</v>
      </c>
      <c r="B39">
        <v>1</v>
      </c>
      <c r="C39">
        <v>1.3682635000441199</v>
      </c>
      <c r="D39" t="str">
        <f t="shared" si="0"/>
        <v>pre</v>
      </c>
    </row>
    <row r="40" spans="1:4" x14ac:dyDescent="0.35">
      <c r="A40">
        <v>24</v>
      </c>
      <c r="B40">
        <v>0</v>
      </c>
      <c r="C40">
        <v>1.40579920005984</v>
      </c>
      <c r="D40" t="str">
        <f t="shared" si="0"/>
        <v>pre</v>
      </c>
    </row>
    <row r="41" spans="1:4" x14ac:dyDescent="0.35">
      <c r="A41">
        <v>70</v>
      </c>
      <c r="B41">
        <v>0</v>
      </c>
      <c r="C41">
        <v>1.3432964000385199</v>
      </c>
      <c r="D41" t="str">
        <f t="shared" si="0"/>
        <v>pre</v>
      </c>
    </row>
    <row r="42" spans="1:4" x14ac:dyDescent="0.35">
      <c r="A42">
        <v>79</v>
      </c>
      <c r="B42">
        <v>0</v>
      </c>
      <c r="C42">
        <v>1.3385214000009</v>
      </c>
      <c r="D42" t="str">
        <f t="shared" si="0"/>
        <v>pre</v>
      </c>
    </row>
    <row r="43" spans="1:4" x14ac:dyDescent="0.35">
      <c r="A43">
        <v>26</v>
      </c>
      <c r="B43">
        <v>0</v>
      </c>
      <c r="C43">
        <v>1.38437729992438</v>
      </c>
      <c r="D43" t="str">
        <f t="shared" si="0"/>
        <v>pre</v>
      </c>
    </row>
    <row r="44" spans="1:4" x14ac:dyDescent="0.35">
      <c r="A44">
        <v>51</v>
      </c>
      <c r="B44">
        <v>0</v>
      </c>
      <c r="C44">
        <v>1.3350070000160399</v>
      </c>
      <c r="D44" t="str">
        <f t="shared" si="0"/>
        <v>pre</v>
      </c>
    </row>
    <row r="45" spans="1:4" x14ac:dyDescent="0.35">
      <c r="A45">
        <v>52</v>
      </c>
      <c r="B45">
        <v>0</v>
      </c>
      <c r="C45">
        <v>1.3915400999831</v>
      </c>
      <c r="D45" t="str">
        <f t="shared" si="0"/>
        <v>pre</v>
      </c>
    </row>
    <row r="46" spans="1:4" x14ac:dyDescent="0.35">
      <c r="A46">
        <v>19</v>
      </c>
      <c r="B46">
        <v>0</v>
      </c>
      <c r="C46">
        <v>1.43186609994154</v>
      </c>
      <c r="D46" t="str">
        <f t="shared" si="0"/>
        <v>pre</v>
      </c>
    </row>
    <row r="47" spans="1:4" x14ac:dyDescent="0.35">
      <c r="A47">
        <v>18</v>
      </c>
      <c r="B47">
        <v>0</v>
      </c>
      <c r="C47">
        <v>1.4609119000378901</v>
      </c>
      <c r="D47" t="str">
        <f t="shared" si="0"/>
        <v>pre</v>
      </c>
    </row>
    <row r="48" spans="1:4" x14ac:dyDescent="0.35">
      <c r="A48">
        <v>34</v>
      </c>
      <c r="B48">
        <v>0</v>
      </c>
      <c r="C48">
        <v>1.3334998000645999</v>
      </c>
      <c r="D48" t="str">
        <f t="shared" si="0"/>
        <v>pre</v>
      </c>
    </row>
    <row r="49" spans="1:4" x14ac:dyDescent="0.35">
      <c r="A49">
        <v>71</v>
      </c>
      <c r="B49">
        <v>0</v>
      </c>
      <c r="C49">
        <v>1.3027629000134699</v>
      </c>
      <c r="D49" t="str">
        <f t="shared" si="0"/>
        <v>pre</v>
      </c>
    </row>
    <row r="50" spans="1:4" x14ac:dyDescent="0.35">
      <c r="A50">
        <v>69</v>
      </c>
      <c r="B50">
        <v>0</v>
      </c>
      <c r="C50">
        <v>1.38217400002758</v>
      </c>
      <c r="D50" t="str">
        <f t="shared" si="0"/>
        <v>pre</v>
      </c>
    </row>
    <row r="51" spans="1:4" x14ac:dyDescent="0.35">
      <c r="A51">
        <v>47</v>
      </c>
      <c r="B51">
        <v>0</v>
      </c>
      <c r="C51">
        <v>1.3297407999634701</v>
      </c>
      <c r="D51" t="str">
        <f t="shared" si="0"/>
        <v>pre</v>
      </c>
    </row>
    <row r="52" spans="1:4" x14ac:dyDescent="0.35">
      <c r="A52">
        <v>14</v>
      </c>
      <c r="B52">
        <v>0</v>
      </c>
      <c r="C52">
        <v>1.45844590000342</v>
      </c>
      <c r="D52" t="str">
        <f t="shared" si="0"/>
        <v>pre</v>
      </c>
    </row>
    <row r="53" spans="1:4" x14ac:dyDescent="0.35">
      <c r="A53">
        <v>63</v>
      </c>
      <c r="B53">
        <v>0</v>
      </c>
      <c r="C53">
        <v>1.4475202999310499</v>
      </c>
      <c r="D53" t="str">
        <f t="shared" si="0"/>
        <v>pre</v>
      </c>
    </row>
    <row r="54" spans="1:4" x14ac:dyDescent="0.35">
      <c r="A54">
        <v>31</v>
      </c>
      <c r="B54">
        <v>0</v>
      </c>
      <c r="C54">
        <v>1.3933657999150399</v>
      </c>
      <c r="D54" t="str">
        <f t="shared" si="0"/>
        <v>pre</v>
      </c>
    </row>
    <row r="55" spans="1:4" x14ac:dyDescent="0.35">
      <c r="A55">
        <v>78</v>
      </c>
      <c r="B55">
        <v>0</v>
      </c>
      <c r="C55">
        <v>1.31425190006848</v>
      </c>
      <c r="D55" t="str">
        <f t="shared" si="0"/>
        <v>pre</v>
      </c>
    </row>
    <row r="56" spans="1:4" x14ac:dyDescent="0.35">
      <c r="A56">
        <v>54</v>
      </c>
      <c r="B56">
        <v>0</v>
      </c>
      <c r="C56">
        <v>1.35288340004626</v>
      </c>
      <c r="D56" t="str">
        <f t="shared" si="0"/>
        <v>pre</v>
      </c>
    </row>
    <row r="57" spans="1:4" x14ac:dyDescent="0.35">
      <c r="A57">
        <v>1</v>
      </c>
      <c r="B57">
        <v>0</v>
      </c>
      <c r="C57">
        <v>1.3814752000616799</v>
      </c>
      <c r="D57" t="str">
        <f t="shared" si="0"/>
        <v>pre</v>
      </c>
    </row>
    <row r="58" spans="1:4" x14ac:dyDescent="0.35">
      <c r="A58">
        <v>41</v>
      </c>
      <c r="B58">
        <v>0</v>
      </c>
      <c r="C58">
        <v>1.38044420001097</v>
      </c>
      <c r="D58" t="str">
        <f t="shared" si="0"/>
        <v>pre</v>
      </c>
    </row>
    <row r="59" spans="1:4" x14ac:dyDescent="0.35">
      <c r="A59">
        <v>13</v>
      </c>
      <c r="B59">
        <v>1</v>
      </c>
      <c r="C59">
        <v>1.39966060000006</v>
      </c>
      <c r="D59" t="str">
        <f t="shared" si="0"/>
        <v>pre</v>
      </c>
    </row>
    <row r="60" spans="1:4" x14ac:dyDescent="0.35">
      <c r="A60">
        <v>65</v>
      </c>
      <c r="B60">
        <v>1</v>
      </c>
      <c r="C60">
        <v>1.4146344999317</v>
      </c>
      <c r="D60" t="str">
        <f t="shared" si="0"/>
        <v>pre</v>
      </c>
    </row>
    <row r="61" spans="1:4" x14ac:dyDescent="0.35">
      <c r="A61">
        <v>57</v>
      </c>
      <c r="B61">
        <v>0</v>
      </c>
      <c r="C61">
        <v>1.4777422000188301</v>
      </c>
      <c r="D61" t="str">
        <f t="shared" si="0"/>
        <v>pre</v>
      </c>
    </row>
    <row r="62" spans="1:4" x14ac:dyDescent="0.35">
      <c r="A62">
        <v>55</v>
      </c>
      <c r="B62">
        <v>0</v>
      </c>
      <c r="C62">
        <v>1.52667990000918</v>
      </c>
      <c r="D62" t="str">
        <f t="shared" si="0"/>
        <v>pre</v>
      </c>
    </row>
    <row r="63" spans="1:4" x14ac:dyDescent="0.35">
      <c r="A63">
        <v>5</v>
      </c>
      <c r="B63">
        <v>0</v>
      </c>
      <c r="C63">
        <v>1.3936454999493399</v>
      </c>
      <c r="D63" t="str">
        <f t="shared" si="0"/>
        <v>pre</v>
      </c>
    </row>
    <row r="64" spans="1:4" x14ac:dyDescent="0.35">
      <c r="A64">
        <v>80</v>
      </c>
      <c r="B64">
        <v>0</v>
      </c>
      <c r="C64">
        <v>1.3794955000048501</v>
      </c>
      <c r="D64" t="str">
        <f t="shared" si="0"/>
        <v>post</v>
      </c>
    </row>
    <row r="65" spans="1:4" x14ac:dyDescent="0.35">
      <c r="A65">
        <v>36</v>
      </c>
      <c r="B65">
        <v>0</v>
      </c>
      <c r="C65">
        <v>1.3609676999039899</v>
      </c>
      <c r="D65" t="str">
        <f t="shared" si="0"/>
        <v>pre</v>
      </c>
    </row>
    <row r="66" spans="1:4" x14ac:dyDescent="0.35">
      <c r="A66">
        <v>22</v>
      </c>
      <c r="B66">
        <v>0</v>
      </c>
      <c r="C66">
        <v>1.4354219000088</v>
      </c>
      <c r="D66" t="str">
        <f t="shared" si="0"/>
        <v>pre</v>
      </c>
    </row>
    <row r="67" spans="1:4" x14ac:dyDescent="0.35">
      <c r="A67">
        <v>61</v>
      </c>
      <c r="B67">
        <v>0</v>
      </c>
      <c r="C67">
        <v>1.3053915000054901</v>
      </c>
      <c r="D67" t="str">
        <f t="shared" si="0"/>
        <v>pre</v>
      </c>
    </row>
    <row r="68" spans="1:4" x14ac:dyDescent="0.35">
      <c r="A68">
        <v>6</v>
      </c>
      <c r="B68">
        <v>0</v>
      </c>
      <c r="C68">
        <v>1.3568542000139101</v>
      </c>
      <c r="D68" t="str">
        <f t="shared" ref="D68:D131" si="1">IF(A68&lt;80,"pre","post")</f>
        <v>pre</v>
      </c>
    </row>
    <row r="69" spans="1:4" x14ac:dyDescent="0.35">
      <c r="A69">
        <v>30</v>
      </c>
      <c r="B69">
        <v>1</v>
      </c>
      <c r="C69">
        <v>1.3935606000013601</v>
      </c>
      <c r="D69" t="str">
        <f t="shared" si="1"/>
        <v>pre</v>
      </c>
    </row>
    <row r="70" spans="1:4" x14ac:dyDescent="0.35">
      <c r="A70">
        <v>43</v>
      </c>
      <c r="B70">
        <v>0</v>
      </c>
      <c r="C70">
        <v>1.3946351999184099</v>
      </c>
      <c r="D70" t="str">
        <f t="shared" si="1"/>
        <v>pre</v>
      </c>
    </row>
    <row r="71" spans="1:4" x14ac:dyDescent="0.35">
      <c r="A71">
        <v>33</v>
      </c>
      <c r="B71">
        <v>0</v>
      </c>
      <c r="C71">
        <v>1.4145641999784799</v>
      </c>
      <c r="D71" t="str">
        <f t="shared" si="1"/>
        <v>pre</v>
      </c>
    </row>
    <row r="72" spans="1:4" x14ac:dyDescent="0.35">
      <c r="A72">
        <v>62</v>
      </c>
      <c r="B72">
        <v>0</v>
      </c>
      <c r="C72">
        <v>1.5586480998899701</v>
      </c>
      <c r="D72" t="str">
        <f t="shared" si="1"/>
        <v>pre</v>
      </c>
    </row>
    <row r="73" spans="1:4" x14ac:dyDescent="0.35">
      <c r="A73">
        <v>53</v>
      </c>
      <c r="B73">
        <v>0</v>
      </c>
      <c r="C73">
        <v>1.33443049993366</v>
      </c>
      <c r="D73" t="str">
        <f t="shared" si="1"/>
        <v>pre</v>
      </c>
    </row>
    <row r="74" spans="1:4" x14ac:dyDescent="0.35">
      <c r="A74">
        <v>38</v>
      </c>
      <c r="B74">
        <v>1</v>
      </c>
      <c r="C74">
        <v>1.30123519990593</v>
      </c>
      <c r="D74" t="str">
        <f t="shared" si="1"/>
        <v>pre</v>
      </c>
    </row>
    <row r="75" spans="1:4" x14ac:dyDescent="0.35">
      <c r="A75">
        <v>49</v>
      </c>
      <c r="B75">
        <v>0</v>
      </c>
      <c r="C75">
        <v>1.30556909996084</v>
      </c>
      <c r="D75" t="str">
        <f t="shared" si="1"/>
        <v>pre</v>
      </c>
    </row>
    <row r="76" spans="1:4" x14ac:dyDescent="0.35">
      <c r="A76">
        <v>11</v>
      </c>
      <c r="B76">
        <v>0</v>
      </c>
      <c r="C76">
        <v>1.32078270008787</v>
      </c>
      <c r="D76" t="str">
        <f t="shared" si="1"/>
        <v>pre</v>
      </c>
    </row>
    <row r="77" spans="1:4" x14ac:dyDescent="0.35">
      <c r="A77">
        <v>17</v>
      </c>
      <c r="B77">
        <v>0</v>
      </c>
      <c r="C77">
        <v>1.3409995000110899</v>
      </c>
      <c r="D77" t="str">
        <f t="shared" si="1"/>
        <v>pre</v>
      </c>
    </row>
    <row r="78" spans="1:4" x14ac:dyDescent="0.35">
      <c r="A78">
        <v>21</v>
      </c>
      <c r="B78">
        <v>0</v>
      </c>
      <c r="C78">
        <v>1.33736200002022</v>
      </c>
      <c r="D78" t="str">
        <f t="shared" si="1"/>
        <v>pre</v>
      </c>
    </row>
    <row r="79" spans="1:4" x14ac:dyDescent="0.35">
      <c r="A79">
        <v>44</v>
      </c>
      <c r="B79">
        <v>1</v>
      </c>
      <c r="C79">
        <v>1.4020593999885</v>
      </c>
      <c r="D79" t="str">
        <f t="shared" si="1"/>
        <v>pre</v>
      </c>
    </row>
    <row r="80" spans="1:4" x14ac:dyDescent="0.35">
      <c r="A80">
        <v>39</v>
      </c>
      <c r="B80">
        <v>1</v>
      </c>
      <c r="C80">
        <v>1.3587569000665001</v>
      </c>
      <c r="D80" t="str">
        <f t="shared" si="1"/>
        <v>pre</v>
      </c>
    </row>
    <row r="81" spans="1:4" x14ac:dyDescent="0.35">
      <c r="A81">
        <v>3</v>
      </c>
      <c r="B81">
        <v>0</v>
      </c>
      <c r="C81">
        <v>1.3897849000058999</v>
      </c>
      <c r="D81" t="str">
        <f t="shared" si="1"/>
        <v>pre</v>
      </c>
    </row>
    <row r="82" spans="1:4" x14ac:dyDescent="0.35">
      <c r="A82">
        <v>10</v>
      </c>
      <c r="B82">
        <v>0</v>
      </c>
      <c r="C82">
        <v>1.3234090000623799</v>
      </c>
      <c r="D82" t="str">
        <f t="shared" si="1"/>
        <v>pre</v>
      </c>
    </row>
    <row r="83" spans="1:4" x14ac:dyDescent="0.35">
      <c r="A83">
        <v>68</v>
      </c>
      <c r="B83">
        <v>0</v>
      </c>
      <c r="C83">
        <v>1.7394249000353701</v>
      </c>
      <c r="D83" t="str">
        <f t="shared" si="1"/>
        <v>pre</v>
      </c>
    </row>
    <row r="84" spans="1:4" x14ac:dyDescent="0.35">
      <c r="A84">
        <v>31</v>
      </c>
      <c r="B84">
        <v>0</v>
      </c>
      <c r="C84">
        <v>1.48086629994213</v>
      </c>
      <c r="D84" t="str">
        <f t="shared" si="1"/>
        <v>pre</v>
      </c>
    </row>
    <row r="85" spans="1:4" x14ac:dyDescent="0.35">
      <c r="A85">
        <v>10</v>
      </c>
      <c r="B85">
        <v>0</v>
      </c>
      <c r="C85">
        <v>1.42224810004699</v>
      </c>
      <c r="D85" t="str">
        <f t="shared" si="1"/>
        <v>pre</v>
      </c>
    </row>
    <row r="86" spans="1:4" x14ac:dyDescent="0.35">
      <c r="A86">
        <v>4</v>
      </c>
      <c r="B86">
        <v>0</v>
      </c>
      <c r="C86">
        <v>1.4953711999114601</v>
      </c>
      <c r="D86" t="str">
        <f t="shared" si="1"/>
        <v>pre</v>
      </c>
    </row>
    <row r="87" spans="1:4" x14ac:dyDescent="0.35">
      <c r="A87">
        <v>59</v>
      </c>
      <c r="B87">
        <v>0</v>
      </c>
      <c r="C87">
        <v>1.5330771999433599</v>
      </c>
      <c r="D87" t="str">
        <f t="shared" si="1"/>
        <v>pre</v>
      </c>
    </row>
    <row r="88" spans="1:4" x14ac:dyDescent="0.35">
      <c r="A88">
        <v>77</v>
      </c>
      <c r="B88">
        <v>1</v>
      </c>
      <c r="C88">
        <v>1.5555412000976501</v>
      </c>
      <c r="D88" t="str">
        <f t="shared" si="1"/>
        <v>pre</v>
      </c>
    </row>
    <row r="89" spans="1:4" x14ac:dyDescent="0.35">
      <c r="A89">
        <v>7</v>
      </c>
      <c r="B89">
        <v>0</v>
      </c>
      <c r="C89">
        <v>1.3963440000079499</v>
      </c>
      <c r="D89" t="str">
        <f t="shared" si="1"/>
        <v>pre</v>
      </c>
    </row>
    <row r="90" spans="1:4" x14ac:dyDescent="0.35">
      <c r="A90">
        <v>27</v>
      </c>
      <c r="B90">
        <v>1</v>
      </c>
      <c r="C90">
        <v>1.52068379998672</v>
      </c>
      <c r="D90" t="str">
        <f t="shared" si="1"/>
        <v>pre</v>
      </c>
    </row>
    <row r="91" spans="1:4" x14ac:dyDescent="0.35">
      <c r="A91">
        <v>11</v>
      </c>
      <c r="B91">
        <v>0</v>
      </c>
      <c r="C91">
        <v>1.3907421999610901</v>
      </c>
      <c r="D91" t="str">
        <f t="shared" si="1"/>
        <v>pre</v>
      </c>
    </row>
    <row r="92" spans="1:4" x14ac:dyDescent="0.35">
      <c r="A92">
        <v>64</v>
      </c>
      <c r="B92">
        <v>0</v>
      </c>
      <c r="C92">
        <v>1.3102163999574199</v>
      </c>
      <c r="D92" t="str">
        <f t="shared" si="1"/>
        <v>pre</v>
      </c>
    </row>
    <row r="93" spans="1:4" x14ac:dyDescent="0.35">
      <c r="A93">
        <v>54</v>
      </c>
      <c r="B93">
        <v>0</v>
      </c>
      <c r="C93">
        <v>1.3664269999135199</v>
      </c>
      <c r="D93" t="str">
        <f t="shared" si="1"/>
        <v>pre</v>
      </c>
    </row>
    <row r="94" spans="1:4" x14ac:dyDescent="0.35">
      <c r="A94">
        <v>18</v>
      </c>
      <c r="B94">
        <v>0</v>
      </c>
      <c r="C94">
        <v>1.5171564000193001</v>
      </c>
      <c r="D94" t="str">
        <f t="shared" si="1"/>
        <v>pre</v>
      </c>
    </row>
    <row r="95" spans="1:4" x14ac:dyDescent="0.35">
      <c r="A95">
        <v>70</v>
      </c>
      <c r="B95">
        <v>0</v>
      </c>
      <c r="C95">
        <v>1.46498130005784</v>
      </c>
      <c r="D95" t="str">
        <f t="shared" si="1"/>
        <v>pre</v>
      </c>
    </row>
    <row r="96" spans="1:4" x14ac:dyDescent="0.35">
      <c r="A96">
        <v>5</v>
      </c>
      <c r="B96">
        <v>0</v>
      </c>
      <c r="C96">
        <v>1.4228482999606</v>
      </c>
      <c r="D96" t="str">
        <f t="shared" si="1"/>
        <v>pre</v>
      </c>
    </row>
    <row r="97" spans="1:4" x14ac:dyDescent="0.35">
      <c r="A97">
        <v>73</v>
      </c>
      <c r="B97">
        <v>0</v>
      </c>
      <c r="C97">
        <v>1.52259710000362</v>
      </c>
      <c r="D97" t="str">
        <f t="shared" si="1"/>
        <v>pre</v>
      </c>
    </row>
    <row r="98" spans="1:4" x14ac:dyDescent="0.35">
      <c r="A98">
        <v>33</v>
      </c>
      <c r="B98">
        <v>0</v>
      </c>
      <c r="C98">
        <v>1.3742711000377299</v>
      </c>
      <c r="D98" t="str">
        <f t="shared" si="1"/>
        <v>pre</v>
      </c>
    </row>
    <row r="99" spans="1:4" x14ac:dyDescent="0.35">
      <c r="A99">
        <v>75</v>
      </c>
      <c r="B99">
        <v>0</v>
      </c>
      <c r="C99">
        <v>1.3829968000063599</v>
      </c>
      <c r="D99" t="str">
        <f t="shared" si="1"/>
        <v>pre</v>
      </c>
    </row>
    <row r="100" spans="1:4" x14ac:dyDescent="0.35">
      <c r="A100">
        <v>45</v>
      </c>
      <c r="B100">
        <v>1</v>
      </c>
      <c r="C100">
        <v>1.4251586999744099</v>
      </c>
      <c r="D100" t="str">
        <f t="shared" si="1"/>
        <v>pre</v>
      </c>
    </row>
    <row r="101" spans="1:4" x14ac:dyDescent="0.35">
      <c r="A101">
        <v>30</v>
      </c>
      <c r="B101">
        <v>1</v>
      </c>
      <c r="C101">
        <v>1.4289603000506701</v>
      </c>
      <c r="D101" t="str">
        <f t="shared" si="1"/>
        <v>pre</v>
      </c>
    </row>
    <row r="102" spans="1:4" x14ac:dyDescent="0.35">
      <c r="A102">
        <v>37</v>
      </c>
      <c r="B102">
        <v>0</v>
      </c>
      <c r="C102">
        <v>1.4011965999379701</v>
      </c>
      <c r="D102" t="str">
        <f t="shared" si="1"/>
        <v>pre</v>
      </c>
    </row>
    <row r="103" spans="1:4" x14ac:dyDescent="0.35">
      <c r="A103">
        <v>55</v>
      </c>
      <c r="B103">
        <v>0</v>
      </c>
      <c r="C103">
        <v>1.34899049997329</v>
      </c>
      <c r="D103" t="str">
        <f t="shared" si="1"/>
        <v>pre</v>
      </c>
    </row>
    <row r="104" spans="1:4" x14ac:dyDescent="0.35">
      <c r="A104">
        <v>51</v>
      </c>
      <c r="B104">
        <v>0</v>
      </c>
      <c r="C104">
        <v>1.44094190001487</v>
      </c>
      <c r="D104" t="str">
        <f t="shared" si="1"/>
        <v>pre</v>
      </c>
    </row>
    <row r="105" spans="1:4" x14ac:dyDescent="0.35">
      <c r="A105">
        <v>9</v>
      </c>
      <c r="B105">
        <v>1</v>
      </c>
      <c r="C105">
        <v>1.4171861000359001</v>
      </c>
      <c r="D105" t="str">
        <f t="shared" si="1"/>
        <v>pre</v>
      </c>
    </row>
    <row r="106" spans="1:4" x14ac:dyDescent="0.35">
      <c r="A106">
        <v>66</v>
      </c>
      <c r="B106">
        <v>0</v>
      </c>
      <c r="C106">
        <v>1.35483269998803</v>
      </c>
      <c r="D106" t="str">
        <f t="shared" si="1"/>
        <v>pre</v>
      </c>
    </row>
    <row r="107" spans="1:4" x14ac:dyDescent="0.35">
      <c r="A107">
        <v>24</v>
      </c>
      <c r="B107">
        <v>0</v>
      </c>
      <c r="C107">
        <v>1.6430906999157699</v>
      </c>
      <c r="D107" t="str">
        <f t="shared" si="1"/>
        <v>pre</v>
      </c>
    </row>
    <row r="108" spans="1:4" x14ac:dyDescent="0.35">
      <c r="A108">
        <v>71</v>
      </c>
      <c r="B108">
        <v>0</v>
      </c>
      <c r="C108">
        <v>1.3659160999814</v>
      </c>
      <c r="D108" t="str">
        <f t="shared" si="1"/>
        <v>pre</v>
      </c>
    </row>
    <row r="109" spans="1:4" x14ac:dyDescent="0.35">
      <c r="A109">
        <v>39</v>
      </c>
      <c r="B109">
        <v>1</v>
      </c>
      <c r="C109">
        <v>1.4189132999163101</v>
      </c>
      <c r="D109" t="str">
        <f t="shared" si="1"/>
        <v>pre</v>
      </c>
    </row>
    <row r="110" spans="1:4" x14ac:dyDescent="0.35">
      <c r="A110">
        <v>8</v>
      </c>
      <c r="B110">
        <v>0</v>
      </c>
      <c r="C110">
        <v>1.4737214000197101</v>
      </c>
      <c r="D110" t="str">
        <f t="shared" si="1"/>
        <v>pre</v>
      </c>
    </row>
    <row r="111" spans="1:4" x14ac:dyDescent="0.35">
      <c r="A111">
        <v>32</v>
      </c>
      <c r="B111">
        <v>0</v>
      </c>
      <c r="C111">
        <v>1.57573240005876</v>
      </c>
      <c r="D111" t="str">
        <f t="shared" si="1"/>
        <v>pre</v>
      </c>
    </row>
    <row r="112" spans="1:4" x14ac:dyDescent="0.35">
      <c r="A112">
        <v>56</v>
      </c>
      <c r="B112">
        <v>0</v>
      </c>
      <c r="C112">
        <v>1.41073260002303</v>
      </c>
      <c r="D112" t="str">
        <f t="shared" si="1"/>
        <v>pre</v>
      </c>
    </row>
    <row r="113" spans="1:4" x14ac:dyDescent="0.35">
      <c r="A113">
        <v>29</v>
      </c>
      <c r="B113">
        <v>0</v>
      </c>
      <c r="C113">
        <v>1.71610100008547</v>
      </c>
      <c r="D113" t="str">
        <f t="shared" si="1"/>
        <v>pre</v>
      </c>
    </row>
    <row r="114" spans="1:4" x14ac:dyDescent="0.35">
      <c r="A114">
        <v>19</v>
      </c>
      <c r="B114">
        <v>0</v>
      </c>
      <c r="C114">
        <v>1.39129159995354</v>
      </c>
      <c r="D114" t="str">
        <f t="shared" si="1"/>
        <v>pre</v>
      </c>
    </row>
    <row r="115" spans="1:4" x14ac:dyDescent="0.35">
      <c r="A115">
        <v>76</v>
      </c>
      <c r="B115">
        <v>0</v>
      </c>
      <c r="C115">
        <v>1.3664499000879</v>
      </c>
      <c r="D115" t="str">
        <f t="shared" si="1"/>
        <v>pre</v>
      </c>
    </row>
    <row r="116" spans="1:4" x14ac:dyDescent="0.35">
      <c r="A116">
        <v>63</v>
      </c>
      <c r="B116">
        <v>0</v>
      </c>
      <c r="C116">
        <v>1.40808459999971</v>
      </c>
      <c r="D116" t="str">
        <f t="shared" si="1"/>
        <v>pre</v>
      </c>
    </row>
    <row r="117" spans="1:4" x14ac:dyDescent="0.35">
      <c r="A117">
        <v>17</v>
      </c>
      <c r="B117">
        <v>0</v>
      </c>
      <c r="C117">
        <v>1.3396141999401101</v>
      </c>
      <c r="D117" t="str">
        <f t="shared" si="1"/>
        <v>pre</v>
      </c>
    </row>
    <row r="118" spans="1:4" x14ac:dyDescent="0.35">
      <c r="A118">
        <v>26</v>
      </c>
      <c r="B118">
        <v>0</v>
      </c>
      <c r="C118">
        <v>1.4152152999304199</v>
      </c>
      <c r="D118" t="str">
        <f t="shared" si="1"/>
        <v>pre</v>
      </c>
    </row>
    <row r="119" spans="1:4" x14ac:dyDescent="0.35">
      <c r="A119">
        <v>41</v>
      </c>
      <c r="B119">
        <v>0</v>
      </c>
      <c r="C119">
        <v>1.32226879999507</v>
      </c>
      <c r="D119" t="str">
        <f t="shared" si="1"/>
        <v>pre</v>
      </c>
    </row>
    <row r="120" spans="1:4" x14ac:dyDescent="0.35">
      <c r="A120">
        <v>1</v>
      </c>
      <c r="B120">
        <v>0</v>
      </c>
      <c r="C120">
        <v>1.3373840999556701</v>
      </c>
      <c r="D120" t="str">
        <f t="shared" si="1"/>
        <v>pre</v>
      </c>
    </row>
    <row r="121" spans="1:4" x14ac:dyDescent="0.35">
      <c r="A121">
        <v>74</v>
      </c>
      <c r="B121">
        <v>0</v>
      </c>
      <c r="C121">
        <v>1.5347383000189401</v>
      </c>
      <c r="D121" t="str">
        <f t="shared" si="1"/>
        <v>pre</v>
      </c>
    </row>
    <row r="122" spans="1:4" x14ac:dyDescent="0.35">
      <c r="A122">
        <v>47</v>
      </c>
      <c r="B122">
        <v>0</v>
      </c>
      <c r="C122">
        <v>1.43120600003749</v>
      </c>
      <c r="D122" t="str">
        <f t="shared" si="1"/>
        <v>pre</v>
      </c>
    </row>
    <row r="123" spans="1:4" x14ac:dyDescent="0.35">
      <c r="A123">
        <v>43</v>
      </c>
      <c r="B123">
        <v>0</v>
      </c>
      <c r="C123">
        <v>1.28721889993175</v>
      </c>
      <c r="D123" t="str">
        <f t="shared" si="1"/>
        <v>pre</v>
      </c>
    </row>
    <row r="124" spans="1:4" x14ac:dyDescent="0.35">
      <c r="A124">
        <v>46</v>
      </c>
      <c r="B124">
        <v>0</v>
      </c>
      <c r="C124">
        <v>1.4286401999415801</v>
      </c>
      <c r="D124" t="str">
        <f t="shared" si="1"/>
        <v>pre</v>
      </c>
    </row>
    <row r="125" spans="1:4" x14ac:dyDescent="0.35">
      <c r="A125">
        <v>80</v>
      </c>
      <c r="B125">
        <v>0</v>
      </c>
      <c r="C125">
        <v>1.46251629991456</v>
      </c>
      <c r="D125" t="str">
        <f t="shared" si="1"/>
        <v>post</v>
      </c>
    </row>
    <row r="126" spans="1:4" x14ac:dyDescent="0.35">
      <c r="A126">
        <v>38</v>
      </c>
      <c r="B126">
        <v>1</v>
      </c>
      <c r="C126">
        <v>1.3647416000021599</v>
      </c>
      <c r="D126" t="str">
        <f t="shared" si="1"/>
        <v>pre</v>
      </c>
    </row>
    <row r="127" spans="1:4" x14ac:dyDescent="0.35">
      <c r="A127">
        <v>44</v>
      </c>
      <c r="B127">
        <v>1</v>
      </c>
      <c r="C127">
        <v>1.3497472999151701</v>
      </c>
      <c r="D127" t="str">
        <f t="shared" si="1"/>
        <v>pre</v>
      </c>
    </row>
    <row r="128" spans="1:4" x14ac:dyDescent="0.35">
      <c r="A128">
        <v>58</v>
      </c>
      <c r="B128">
        <v>0</v>
      </c>
      <c r="C128">
        <v>1.392018500017</v>
      </c>
      <c r="D128" t="str">
        <f t="shared" si="1"/>
        <v>pre</v>
      </c>
    </row>
    <row r="129" spans="1:4" x14ac:dyDescent="0.35">
      <c r="A129">
        <v>49</v>
      </c>
      <c r="B129">
        <v>0</v>
      </c>
      <c r="C129">
        <v>1.39535650005564</v>
      </c>
      <c r="D129" t="str">
        <f t="shared" si="1"/>
        <v>pre</v>
      </c>
    </row>
    <row r="130" spans="1:4" x14ac:dyDescent="0.35">
      <c r="A130">
        <v>62</v>
      </c>
      <c r="B130">
        <v>0</v>
      </c>
      <c r="C130">
        <v>1.33426009991671</v>
      </c>
      <c r="D130" t="str">
        <f t="shared" si="1"/>
        <v>pre</v>
      </c>
    </row>
    <row r="131" spans="1:4" x14ac:dyDescent="0.35">
      <c r="A131">
        <v>28</v>
      </c>
      <c r="B131">
        <v>0</v>
      </c>
      <c r="C131">
        <v>1.35072970006149</v>
      </c>
      <c r="D131" t="str">
        <f t="shared" si="1"/>
        <v>pre</v>
      </c>
    </row>
    <row r="132" spans="1:4" x14ac:dyDescent="0.35">
      <c r="A132">
        <v>42</v>
      </c>
      <c r="B132">
        <v>1</v>
      </c>
      <c r="C132">
        <v>1.4009026000276199</v>
      </c>
      <c r="D132" t="str">
        <f t="shared" ref="D132:D162" si="2">IF(A132&lt;80,"pre","post")</f>
        <v>pre</v>
      </c>
    </row>
    <row r="133" spans="1:4" x14ac:dyDescent="0.35">
      <c r="A133">
        <v>53</v>
      </c>
      <c r="B133">
        <v>0</v>
      </c>
      <c r="C133">
        <v>1.3634640999371099</v>
      </c>
      <c r="D133" t="str">
        <f t="shared" si="2"/>
        <v>pre</v>
      </c>
    </row>
    <row r="134" spans="1:4" x14ac:dyDescent="0.35">
      <c r="A134">
        <v>34</v>
      </c>
      <c r="B134">
        <v>0</v>
      </c>
      <c r="C134">
        <v>1.57219839992467</v>
      </c>
      <c r="D134" t="str">
        <f t="shared" si="2"/>
        <v>pre</v>
      </c>
    </row>
    <row r="135" spans="1:4" x14ac:dyDescent="0.35">
      <c r="A135">
        <v>72</v>
      </c>
      <c r="B135">
        <v>0</v>
      </c>
      <c r="C135">
        <v>1.37847579992376</v>
      </c>
      <c r="D135" t="str">
        <f t="shared" si="2"/>
        <v>pre</v>
      </c>
    </row>
    <row r="136" spans="1:4" x14ac:dyDescent="0.35">
      <c r="A136">
        <v>40</v>
      </c>
      <c r="B136">
        <v>0</v>
      </c>
      <c r="C136">
        <v>1.3788767999503699</v>
      </c>
      <c r="D136" t="str">
        <f t="shared" si="2"/>
        <v>pre</v>
      </c>
    </row>
    <row r="137" spans="1:4" x14ac:dyDescent="0.35">
      <c r="A137">
        <v>35</v>
      </c>
      <c r="B137">
        <v>0</v>
      </c>
      <c r="C137">
        <v>1.4648265000432701</v>
      </c>
      <c r="D137" t="str">
        <f t="shared" si="2"/>
        <v>pre</v>
      </c>
    </row>
    <row r="138" spans="1:4" x14ac:dyDescent="0.35">
      <c r="A138">
        <v>52</v>
      </c>
      <c r="B138">
        <v>0</v>
      </c>
      <c r="C138">
        <v>1.4196078999666399</v>
      </c>
      <c r="D138" t="str">
        <f t="shared" si="2"/>
        <v>pre</v>
      </c>
    </row>
    <row r="139" spans="1:4" x14ac:dyDescent="0.35">
      <c r="A139">
        <v>67</v>
      </c>
      <c r="B139">
        <v>1</v>
      </c>
      <c r="C139">
        <v>1.3312630000291299</v>
      </c>
      <c r="D139" t="str">
        <f t="shared" si="2"/>
        <v>pre</v>
      </c>
    </row>
    <row r="140" spans="1:4" x14ac:dyDescent="0.35">
      <c r="A140">
        <v>21</v>
      </c>
      <c r="B140">
        <v>0</v>
      </c>
      <c r="C140">
        <v>1.4840851000044399</v>
      </c>
      <c r="D140" t="str">
        <f t="shared" si="2"/>
        <v>pre</v>
      </c>
    </row>
    <row r="141" spans="1:4" x14ac:dyDescent="0.35">
      <c r="A141">
        <v>2</v>
      </c>
      <c r="B141">
        <v>1</v>
      </c>
      <c r="C141">
        <v>1.44995549996383</v>
      </c>
      <c r="D141" t="str">
        <f t="shared" si="2"/>
        <v>pre</v>
      </c>
    </row>
    <row r="142" spans="1:4" x14ac:dyDescent="0.35">
      <c r="A142">
        <v>69</v>
      </c>
      <c r="B142">
        <v>0</v>
      </c>
      <c r="C142">
        <v>1.40542640001513</v>
      </c>
      <c r="D142" t="str">
        <f t="shared" si="2"/>
        <v>pre</v>
      </c>
    </row>
    <row r="143" spans="1:4" x14ac:dyDescent="0.35">
      <c r="A143">
        <v>50</v>
      </c>
      <c r="B143">
        <v>1</v>
      </c>
      <c r="C143">
        <v>1.35944679996464</v>
      </c>
      <c r="D143" t="str">
        <f t="shared" si="2"/>
        <v>pre</v>
      </c>
    </row>
    <row r="144" spans="1:4" x14ac:dyDescent="0.35">
      <c r="A144">
        <v>65</v>
      </c>
      <c r="B144">
        <v>0</v>
      </c>
      <c r="C144">
        <v>1.3473476000363001</v>
      </c>
      <c r="D144" t="str">
        <f t="shared" si="2"/>
        <v>pre</v>
      </c>
    </row>
    <row r="145" spans="1:4" x14ac:dyDescent="0.35">
      <c r="A145">
        <v>61</v>
      </c>
      <c r="B145">
        <v>0</v>
      </c>
      <c r="C145">
        <v>1.4821465000277301</v>
      </c>
      <c r="D145" t="str">
        <f t="shared" si="2"/>
        <v>pre</v>
      </c>
    </row>
    <row r="146" spans="1:4" x14ac:dyDescent="0.35">
      <c r="A146">
        <v>15</v>
      </c>
      <c r="B146">
        <v>0</v>
      </c>
      <c r="C146">
        <v>1.52216539997607</v>
      </c>
      <c r="D146" t="str">
        <f t="shared" si="2"/>
        <v>pre</v>
      </c>
    </row>
    <row r="147" spans="1:4" x14ac:dyDescent="0.35">
      <c r="A147">
        <v>14</v>
      </c>
      <c r="B147">
        <v>0</v>
      </c>
      <c r="C147">
        <v>1.45935430005192</v>
      </c>
      <c r="D147" t="str">
        <f t="shared" si="2"/>
        <v>pre</v>
      </c>
    </row>
    <row r="148" spans="1:4" x14ac:dyDescent="0.35">
      <c r="A148">
        <v>20</v>
      </c>
      <c r="B148">
        <v>1</v>
      </c>
      <c r="C148">
        <v>1.40579170000273</v>
      </c>
      <c r="D148" t="str">
        <f t="shared" si="2"/>
        <v>pre</v>
      </c>
    </row>
    <row r="149" spans="1:4" x14ac:dyDescent="0.35">
      <c r="A149">
        <v>13</v>
      </c>
      <c r="B149">
        <v>1</v>
      </c>
      <c r="C149">
        <v>1.3901825000066299</v>
      </c>
      <c r="D149" t="str">
        <f t="shared" si="2"/>
        <v>pre</v>
      </c>
    </row>
    <row r="150" spans="1:4" x14ac:dyDescent="0.35">
      <c r="A150">
        <v>78</v>
      </c>
      <c r="B150">
        <v>0</v>
      </c>
      <c r="C150">
        <v>1.34459640004206</v>
      </c>
      <c r="D150" t="str">
        <f t="shared" si="2"/>
        <v>pre</v>
      </c>
    </row>
    <row r="151" spans="1:4" x14ac:dyDescent="0.35">
      <c r="A151">
        <v>12</v>
      </c>
      <c r="B151">
        <v>1</v>
      </c>
      <c r="C151">
        <v>1.37461749999783</v>
      </c>
      <c r="D151" t="str">
        <f t="shared" si="2"/>
        <v>pre</v>
      </c>
    </row>
    <row r="152" spans="1:4" x14ac:dyDescent="0.35">
      <c r="A152">
        <v>16</v>
      </c>
      <c r="B152">
        <v>1</v>
      </c>
      <c r="C152">
        <v>1.38556309998966</v>
      </c>
      <c r="D152" t="str">
        <f t="shared" si="2"/>
        <v>pre</v>
      </c>
    </row>
    <row r="153" spans="1:4" x14ac:dyDescent="0.35">
      <c r="A153">
        <v>23</v>
      </c>
      <c r="B153">
        <v>0</v>
      </c>
      <c r="C153">
        <v>1.3457220999989601</v>
      </c>
      <c r="D153" t="str">
        <f t="shared" si="2"/>
        <v>pre</v>
      </c>
    </row>
    <row r="154" spans="1:4" x14ac:dyDescent="0.35">
      <c r="A154">
        <v>25</v>
      </c>
      <c r="B154">
        <v>1</v>
      </c>
      <c r="C154">
        <v>1.4012503999983801</v>
      </c>
      <c r="D154" t="str">
        <f t="shared" si="2"/>
        <v>pre</v>
      </c>
    </row>
    <row r="155" spans="1:4" x14ac:dyDescent="0.35">
      <c r="A155">
        <v>79</v>
      </c>
      <c r="B155">
        <v>0</v>
      </c>
      <c r="C155">
        <v>1.3148703000042501</v>
      </c>
      <c r="D155" t="str">
        <f t="shared" si="2"/>
        <v>pre</v>
      </c>
    </row>
    <row r="156" spans="1:4" x14ac:dyDescent="0.35">
      <c r="A156">
        <v>22</v>
      </c>
      <c r="B156">
        <v>0</v>
      </c>
      <c r="C156">
        <v>1.32670089998282</v>
      </c>
      <c r="D156" t="str">
        <f t="shared" si="2"/>
        <v>pre</v>
      </c>
    </row>
    <row r="157" spans="1:4" x14ac:dyDescent="0.35">
      <c r="A157">
        <v>60</v>
      </c>
      <c r="B157">
        <v>0</v>
      </c>
      <c r="C157">
        <v>1.38873430003877</v>
      </c>
      <c r="D157" t="str">
        <f t="shared" si="2"/>
        <v>pre</v>
      </c>
    </row>
    <row r="158" spans="1:4" x14ac:dyDescent="0.35">
      <c r="A158">
        <v>6</v>
      </c>
      <c r="B158">
        <v>0</v>
      </c>
      <c r="C158">
        <v>1.53936819999944</v>
      </c>
      <c r="D158" t="str">
        <f t="shared" si="2"/>
        <v>pre</v>
      </c>
    </row>
    <row r="159" spans="1:4" x14ac:dyDescent="0.35">
      <c r="A159">
        <v>57</v>
      </c>
      <c r="B159">
        <v>0</v>
      </c>
      <c r="C159">
        <v>1.448034800007</v>
      </c>
      <c r="D159" t="str">
        <f t="shared" si="2"/>
        <v>pre</v>
      </c>
    </row>
    <row r="160" spans="1:4" x14ac:dyDescent="0.35">
      <c r="A160">
        <v>3</v>
      </c>
      <c r="B160">
        <v>0</v>
      </c>
      <c r="C160">
        <v>1.3180454999674101</v>
      </c>
      <c r="D160" t="str">
        <f t="shared" si="2"/>
        <v>pre</v>
      </c>
    </row>
    <row r="161" spans="1:4" x14ac:dyDescent="0.35">
      <c r="A161">
        <v>36</v>
      </c>
      <c r="B161">
        <v>0</v>
      </c>
      <c r="C161">
        <v>1.3249249999644199</v>
      </c>
      <c r="D161" t="str">
        <f t="shared" si="2"/>
        <v>pre</v>
      </c>
    </row>
    <row r="162" spans="1:4" x14ac:dyDescent="0.35">
      <c r="A162">
        <v>48</v>
      </c>
      <c r="B162">
        <v>0</v>
      </c>
      <c r="C162">
        <v>1.38841350004076</v>
      </c>
      <c r="D162" t="str">
        <f t="shared" si="2"/>
        <v>pre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5D8B-DBEE-4C26-A4DA-AB93D76EF73B}">
  <dimension ref="A1:E7"/>
  <sheetViews>
    <sheetView tabSelected="1" zoomScale="79" workbookViewId="0">
      <selection activeCell="G5" sqref="G5"/>
    </sheetView>
  </sheetViews>
  <sheetFormatPr defaultRowHeight="14.5" x14ac:dyDescent="0.35"/>
  <cols>
    <col min="1" max="1" width="11.26953125" customWidth="1"/>
    <col min="2" max="2" width="13.1796875" customWidth="1"/>
    <col min="3" max="3" width="13.36328125" customWidth="1"/>
    <col min="4" max="4" width="13.7265625" customWidth="1"/>
    <col min="5" max="5" width="14.1796875" customWidth="1"/>
  </cols>
  <sheetData>
    <row r="1" spans="1:5" x14ac:dyDescent="0.35">
      <c r="A1" s="1" t="s">
        <v>8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5">
      <c r="A2">
        <v>1</v>
      </c>
      <c r="B2">
        <v>1.7652345199999999</v>
      </c>
      <c r="C2">
        <v>1.5751653000000001</v>
      </c>
      <c r="D2">
        <v>0.80379745999999996</v>
      </c>
      <c r="E2">
        <v>1</v>
      </c>
    </row>
    <row r="3" spans="1:5" x14ac:dyDescent="0.35">
      <c r="A3">
        <v>2</v>
      </c>
      <c r="B3">
        <v>1.7648542300000001</v>
      </c>
      <c r="C3">
        <v>2.0057480999999999</v>
      </c>
      <c r="D3">
        <v>0.77848101000000003</v>
      </c>
      <c r="E3">
        <v>1</v>
      </c>
    </row>
    <row r="4" spans="1:5" x14ac:dyDescent="0.35">
      <c r="A4">
        <v>3</v>
      </c>
      <c r="B4">
        <v>2.6459407599999998</v>
      </c>
      <c r="C4">
        <v>2.8349492000000001</v>
      </c>
      <c r="D4">
        <v>0.79113924000000002</v>
      </c>
      <c r="E4">
        <v>1</v>
      </c>
    </row>
    <row r="5" spans="1:5" x14ac:dyDescent="0.35">
      <c r="A5">
        <v>4</v>
      </c>
      <c r="B5">
        <v>1.7169720100000001</v>
      </c>
      <c r="C5">
        <v>1.5010591</v>
      </c>
      <c r="D5">
        <v>0.78481012000000006</v>
      </c>
      <c r="E5">
        <v>1</v>
      </c>
    </row>
    <row r="6" spans="1:5" x14ac:dyDescent="0.35">
      <c r="A6">
        <v>5</v>
      </c>
      <c r="B6">
        <v>1.41695196</v>
      </c>
      <c r="C6">
        <v>1.4210058999999999</v>
      </c>
      <c r="D6">
        <v>0.77848101000000003</v>
      </c>
      <c r="E6">
        <v>1</v>
      </c>
    </row>
    <row r="7" spans="1:5" x14ac:dyDescent="0.35">
      <c r="A7" s="1" t="s">
        <v>9</v>
      </c>
      <c r="B7" s="2">
        <f>AVERAGE(B2:B6)</f>
        <v>1.8619906959999999</v>
      </c>
      <c r="C7" s="2">
        <f>AVERAGE(C2:C6)</f>
        <v>1.86758552</v>
      </c>
      <c r="D7" s="2">
        <f>AVERAGE(D2:D6)</f>
        <v>0.787341768</v>
      </c>
      <c r="E7" s="2">
        <f>AVERAGE(E2:E6)</f>
        <v>1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Participant 2</vt:lpstr>
      <vt:lpstr>Participant 3</vt:lpstr>
      <vt:lpstr>Participant 4</vt:lpstr>
      <vt:lpstr>Participant 5</vt:lpstr>
      <vt:lpstr>Combined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Hiya Shah</dc:creator>
  <cp:lastModifiedBy>Hiya Shah</cp:lastModifiedBy>
  <dcterms:created xsi:type="dcterms:W3CDTF">2025-11-19T12:56:03Z</dcterms:created>
  <dcterms:modified xsi:type="dcterms:W3CDTF">2025-11-21T17:01:18Z</dcterms:modified>
</cp:coreProperties>
</file>